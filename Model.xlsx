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13_ncr:1_{71F247E9-BF50-45BB-BC8C-9A7FD0C94D67}" xr6:coauthVersionLast="47" xr6:coauthVersionMax="47" xr10:uidLastSave="{00000000-0000-0000-0000-000000000000}"/>
  <bookViews>
    <workbookView xWindow="-108" yWindow="-108" windowWidth="30936" windowHeight="16776" tabRatio="905" firstSheet="6" activeTab="10" xr2:uid="{2BC53232-3274-4BF1-8B9F-B81541429D1E}"/>
  </bookViews>
  <sheets>
    <sheet name="GDP_By_Main_Economic_Activity" sheetId="2" r:id="rId1"/>
    <sheet name="balance_of_payments" sheetId="12" r:id="rId2"/>
    <sheet name="Government_Revenues" sheetId="4" r:id="rId3"/>
    <sheet name="Government_Expenditures" sheetId="3" r:id="rId4"/>
    <sheet name="Purchasing_Managers_Index" sheetId="5" r:id="rId5"/>
    <sheet name="Point_of_Sales_Transactions" sheetId="6" r:id="rId6"/>
    <sheet name="Crude_Oil" sheetId="7" r:id="rId7"/>
    <sheet name="Money_Supply" sheetId="8" r:id="rId8"/>
    <sheet name="International_Trade" sheetId="9" r:id="rId9"/>
    <sheet name="Consumer_Price_Index" sheetId="14" r:id="rId10"/>
    <sheet name="Model" sheetId="1" r:id="rId11"/>
    <sheet name="Nowcasting" sheetId="11" r:id="rId12"/>
    <sheet name="GDP_By_Kind_of_Economic_Activit" sheetId="15" r:id="rId13"/>
    <sheet name="Data" sheetId="10" r:id="rId14"/>
    <sheet name="GrossDomesticProduct" sheetId="16" r:id="rId15"/>
    <sheet name="Dashboard" sheetId="13" r:id="rId16"/>
  </sheets>
  <definedNames>
    <definedName name="ExternalData_1" localSheetId="9" hidden="1">'Consumer_Price_Index'!$A$1:$C$37</definedName>
    <definedName name="ExternalData_1" localSheetId="6" hidden="1">Crude_Oil!$A$1:$D$38</definedName>
    <definedName name="ExternalData_1" localSheetId="12" hidden="1">GDP_By_Kind_of_Economic_Activit!$A$1:$R$37</definedName>
    <definedName name="ExternalData_1" localSheetId="0" hidden="1">GDP_By_Main_Economic_Activity!$A$1:$H$37</definedName>
    <definedName name="ExternalData_1" localSheetId="3" hidden="1">Government_Expenditures!$A$1:$K$41</definedName>
    <definedName name="ExternalData_1" localSheetId="2" hidden="1">Government_Revenues!$A$1:$K$37</definedName>
    <definedName name="ExternalData_1" localSheetId="14" hidden="1">GrossDomesticProduct!$A$1:$A$57</definedName>
    <definedName name="ExternalData_1" localSheetId="8" hidden="1">International_Trade!$A$1:$F$37</definedName>
    <definedName name="ExternalData_1" localSheetId="7" hidden="1">Money_Supply!$A$1:$C$38</definedName>
    <definedName name="ExternalData_1" localSheetId="5" hidden="1">Point_of_Sales_Transactions!$A$1:$C$38</definedName>
    <definedName name="ExternalData_1" localSheetId="4" hidden="1">Purchasing_Managers_Index!$A$1:$C$38</definedName>
    <definedName name="ExternalData_2" localSheetId="1" hidden="1">balance_of_payments!$A$1:$C$65</definedName>
    <definedName name="_xlnm.Print_Area" localSheetId="15">Dashboard!$B$4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B4" i="10" a="1"/>
  <c r="B4" i="10" s="1"/>
  <c r="B222" i="10" a="1"/>
  <c r="B222" i="10" s="1"/>
  <c r="A1" i="13"/>
  <c r="V57" i="10" s="1"/>
  <c r="B136" i="10" a="1"/>
  <c r="B136" i="10" s="1"/>
  <c r="B51" i="10" a="1"/>
  <c r="B51" i="10" s="1"/>
  <c r="L2" i="1" a="1"/>
  <c r="L2" i="1" s="1"/>
  <c r="C16" i="11"/>
  <c r="C15" i="11"/>
  <c r="B94" i="10" a="1"/>
  <c r="B94" i="10" s="1"/>
  <c r="E2" i="1" a="1"/>
  <c r="E2" i="1" s="1"/>
  <c r="C2" i="1" a="1"/>
  <c r="C2" i="1" s="1"/>
  <c r="K2" i="1" a="1"/>
  <c r="K2" i="1" s="1"/>
  <c r="J2" i="1" a="1"/>
  <c r="J2" i="1" s="1"/>
  <c r="I2" i="1" a="1"/>
  <c r="I2" i="1" s="1"/>
  <c r="H2" i="1" a="1"/>
  <c r="H2" i="1" s="1"/>
  <c r="G2" i="1" a="1"/>
  <c r="G2" i="1" s="1"/>
  <c r="F2" i="1" a="1"/>
  <c r="F2" i="1" s="1"/>
  <c r="D2" i="1" a="1"/>
  <c r="D2" i="1" s="1"/>
  <c r="B2" i="1" a="1"/>
  <c r="B2" i="1" s="1"/>
  <c r="A2" i="1" a="1"/>
  <c r="A2" i="1" s="1"/>
  <c r="V52" i="10" l="1"/>
  <c r="V53" i="10"/>
  <c r="V54" i="10"/>
  <c r="V55" i="10"/>
  <c r="V56" i="10"/>
  <c r="V5" i="10" a="1"/>
  <c r="V5" i="10" s="1"/>
  <c r="Z5" i="10" s="1" a="1"/>
  <c r="Z5" i="10" s="1"/>
  <c r="P143" i="10" a="1"/>
  <c r="P143" i="10" s="1"/>
  <c r="D184" i="10"/>
  <c r="D203" i="10"/>
  <c r="D201" i="10"/>
  <c r="E10" i="13"/>
  <c r="D197" i="10"/>
  <c r="D180" i="10"/>
  <c r="D196" i="10"/>
  <c r="D215" i="10"/>
  <c r="D195" i="10"/>
  <c r="D214" i="10"/>
  <c r="D194" i="10"/>
  <c r="I10" i="13" s="1"/>
  <c r="D213" i="10"/>
  <c r="D193" i="10"/>
  <c r="D212" i="10"/>
  <c r="D192" i="10"/>
  <c r="D211" i="10"/>
  <c r="D191" i="10"/>
  <c r="D210" i="10"/>
  <c r="D190" i="10"/>
  <c r="D209" i="10"/>
  <c r="D189" i="10"/>
  <c r="D208" i="10"/>
  <c r="D188" i="10"/>
  <c r="D207" i="10"/>
  <c r="D187" i="10"/>
  <c r="D206" i="10"/>
  <c r="D186" i="10"/>
  <c r="D205" i="10"/>
  <c r="D185" i="10"/>
  <c r="D204" i="10"/>
  <c r="D183" i="10"/>
  <c r="D202" i="10"/>
  <c r="D182" i="10"/>
  <c r="D181" i="10"/>
  <c r="D200" i="10"/>
  <c r="D199" i="10"/>
  <c r="D198" i="10"/>
  <c r="L52" i="10"/>
  <c r="M52" i="10"/>
  <c r="O10" i="13"/>
  <c r="K10" i="13"/>
  <c r="M10" i="13"/>
  <c r="G10" i="13"/>
  <c r="C10" i="13"/>
  <c r="C5" i="11"/>
  <c r="C6" i="11"/>
  <c r="C4" i="11"/>
  <c r="B38" i="1"/>
  <c r="Z52" i="10" l="1" a="1"/>
  <c r="AA5" i="10" a="1"/>
  <c r="AA5" i="10" s="1"/>
  <c r="C11" i="11"/>
  <c r="C10" i="11"/>
  <c r="C9" i="11"/>
  <c r="Z52" i="10" l="1"/>
  <c r="AA52" i="10" s="1" a="1"/>
  <c r="AA52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9FE77-63DE-4BE8-83E2-6953486B9A38}" keepAlive="1" name="Query - balance_of_payments" description="Connection to the 'balance_of_payments' query in the workbook." type="5" refreshedVersion="8" background="1" saveData="1">
    <dbPr connection="Provider=Microsoft.Mashup.OleDb.1;Data Source=$Workbook$;Location=balance_of_payments;Extended Properties=&quot;&quot;" command="SELECT * FROM [balance_of_payments]"/>
  </connection>
  <connection id="2" xr16:uid="{12738559-60E6-46D2-A6C7-6AD8EB3AB9C9}" keepAlive="1" name="Query - Consumer_Price_Index" description="Connection to the 'Consumer_Price_Index' query in the workbook." type="5" refreshedVersion="8" background="1" saveData="1">
    <dbPr connection="Provider=Microsoft.Mashup.OleDb.1;Data Source=$Workbook$;Location=Consumer_Price_Index;Extended Properties=&quot;&quot;" command="SELECT * FROM [Consumer_Price_Index]"/>
  </connection>
  <connection id="3" xr16:uid="{92D834D1-2189-4600-A47F-F92787AC7A82}" keepAlive="1" name="Query - Crude_Oil_Quarterly" description="Connection to the 'Crude_Oil_Quarterly' query in the workbook." type="5" refreshedVersion="8" background="1" saveData="1">
    <dbPr connection="Provider=Microsoft.Mashup.OleDb.1;Data Source=$Workbook$;Location=Crude_Oil_Quarterly;Extended Properties=&quot;&quot;" command="SELECT * FROM [Crude_Oil_Quarterly]"/>
  </connection>
  <connection id="4" xr16:uid="{C9729A66-3E0A-4E99-9D09-0A6501FCBC57}" keepAlive="1" name="Query - GDP_By_Kind_of_Economic_Activities" description="Connection to the 'GDP_By_Kind_of_Economic_Activities' query in the workbook." type="5" refreshedVersion="8" background="1" saveData="1">
    <dbPr connection="Provider=Microsoft.Mashup.OleDb.1;Data Source=$Workbook$;Location=GDP_By_Kind_of_Economic_Activities;Extended Properties=&quot;&quot;" command="SELECT * FROM [GDP_By_Kind_of_Economic_Activities]"/>
  </connection>
  <connection id="5" xr16:uid="{5059CBD7-3BA5-44E6-A352-6E52521C92B6}" keepAlive="1" name="Query - GDP_By_Main_Economic_Activity" description="Connection to the 'GDP_By_Main_Economic_Activity' query in the workbook." type="5" refreshedVersion="8" background="1" saveData="1">
    <dbPr connection="Provider=Microsoft.Mashup.OleDb.1;Data Source=$Workbook$;Location=GDP_By_Main_Economic_Activity;Extended Properties=&quot;&quot;" command="SELECT * FROM [GDP_By_Main_Economic_Activity]"/>
  </connection>
  <connection id="6" xr16:uid="{EFDD0F6D-D03D-4605-9A9F-48AF8549A7B0}" keepAlive="1" name="Query - Government_Expenditures" description="Connection to the 'Government_Expenditures' query in the workbook." type="5" refreshedVersion="8" background="1" saveData="1">
    <dbPr connection="Provider=Microsoft.Mashup.OleDb.1;Data Source=$Workbook$;Location=Government_Expenditures;Extended Properties=&quot;&quot;" command="SELECT * FROM [Government_Expenditures]"/>
  </connection>
  <connection id="7" xr16:uid="{87C210C2-5708-4005-879B-5AF8E6711523}" keepAlive="1" name="Query - Government_Revenues" description="Connection to the 'Government_Revenues' query in the workbook." type="5" refreshedVersion="8" background="1" saveData="1">
    <dbPr connection="Provider=Microsoft.Mashup.OleDb.1;Data Source=$Workbook$;Location=Government_Revenues;Extended Properties=&quot;&quot;" command="SELECT * FROM [Government_Revenues]"/>
  </connection>
  <connection id="8" xr16:uid="{802FCD3F-1E69-4B05-B038-AAB32CA9CFB1}" keepAlive="1" name="Query - GrossDomesticProduct" description="Connection to the 'GrossDomesticProduct' query in the workbook." type="5" refreshedVersion="8" background="1" saveData="1">
    <dbPr connection="Provider=Microsoft.Mashup.OleDb.1;Data Source=$Workbook$;Location=GrossDomesticProduct;Extended Properties=&quot;&quot;" command="SELECT * FROM [GrossDomesticProduct]"/>
  </connection>
  <connection id="9" xr16:uid="{EDC85227-1DF4-4E62-B558-1AB0A55FFF12}" keepAlive="1" name="Query - International_Trade" description="Connection to the 'International_Trade' query in the workbook." type="5" refreshedVersion="8" background="1" saveData="1">
    <dbPr connection="Provider=Microsoft.Mashup.OleDb.1;Data Source=$Workbook$;Location=International_Trade;Extended Properties=&quot;&quot;" command="SELECT * FROM [International_Trade]"/>
  </connection>
  <connection id="10" xr16:uid="{AFF8E5E0-4D94-46DB-A1C3-B4EB18F9966A}" keepAlive="1" name="Query - M3_Quarterly" description="Connection to the 'M3_Quarterly' query in the workbook." type="5" refreshedVersion="8" background="1" saveData="1">
    <dbPr connection="Provider=Microsoft.Mashup.OleDb.1;Data Source=$Workbook$;Location=M3_Quarterly;Extended Properties=&quot;&quot;" command="SELECT * FROM [M3_Quarterly]"/>
  </connection>
  <connection id="11" xr16:uid="{C7073DF7-10E7-405B-91E6-2273FA06286D}" keepAlive="1" name="Query - PMI_Quarterly" description="Connection to the 'PMI_Quarterly' query in the workbook." type="5" refreshedVersion="8" background="1" saveData="1">
    <dbPr connection="Provider=Microsoft.Mashup.OleDb.1;Data Source=$Workbook$;Location=PMI_Quarterly;Extended Properties=&quot;&quot;" command="SELECT * FROM [PMI_Quarterly]"/>
  </connection>
  <connection id="12" xr16:uid="{3B9C47CF-C634-4B6A-8143-B2D572D38E18}" keepAlive="1" name="Query - POS_Quarterly" description="Connection to the 'POS_Quarterly' query in the workbook." type="5" refreshedVersion="8" background="1" saveData="1">
    <dbPr connection="Provider=Microsoft.Mashup.OleDb.1;Data Source=$Workbook$;Location=POS_Quarterly;Extended Properties=&quot;&quot;" command="SELECT * FROM [POS_Quarterl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<sst xmlns="http://schemas.openxmlformats.org/spreadsheetml/2006/main" count="606" uniqueCount="159">
  <si>
    <t>Date</t>
  </si>
  <si>
    <t>Oil Activities</t>
  </si>
  <si>
    <t>Non-Oil Activities</t>
  </si>
  <si>
    <t>Government Activities</t>
  </si>
  <si>
    <t xml:space="preserve">Gross Value Added </t>
  </si>
  <si>
    <t xml:space="preserve"> Net Taxes on Products</t>
  </si>
  <si>
    <t>Gross Domestic Product</t>
  </si>
  <si>
    <t>Total Exp</t>
  </si>
  <si>
    <t>Compensation</t>
  </si>
  <si>
    <t>Goods/Services</t>
  </si>
  <si>
    <t>Financing</t>
  </si>
  <si>
    <t>Subsidies</t>
  </si>
  <si>
    <t>Grants</t>
  </si>
  <si>
    <t>Social Benefits</t>
  </si>
  <si>
    <t>Other Expenses</t>
  </si>
  <si>
    <t>CAPEX</t>
  </si>
  <si>
    <t>Total Revenue</t>
  </si>
  <si>
    <t>Oil Revenue</t>
  </si>
  <si>
    <t>Non Oil Revenues</t>
  </si>
  <si>
    <t>Taxes Revenues</t>
  </si>
  <si>
    <t>Income Taxes</t>
  </si>
  <si>
    <t>VAT</t>
  </si>
  <si>
    <t>INT Taxes</t>
  </si>
  <si>
    <t>Other Taxes</t>
  </si>
  <si>
    <t>Other Revenues</t>
  </si>
  <si>
    <t>Non_Oil_Rev</t>
  </si>
  <si>
    <t>PMI</t>
  </si>
  <si>
    <t>Value</t>
  </si>
  <si>
    <t>POS</t>
  </si>
  <si>
    <t>Oil_Price</t>
  </si>
  <si>
    <t>Oil_Production</t>
  </si>
  <si>
    <t>Production</t>
  </si>
  <si>
    <t>Price</t>
  </si>
  <si>
    <t>M3</t>
  </si>
  <si>
    <t>Label</t>
  </si>
  <si>
    <t>Value (Base Case)</t>
  </si>
  <si>
    <t>POS Growth %</t>
  </si>
  <si>
    <t>Oil Prod (mb/d)</t>
  </si>
  <si>
    <t>PMI Index</t>
  </si>
  <si>
    <t xml:space="preserve">YoY Growth Rate </t>
  </si>
  <si>
    <t>QoQ Growth Rate</t>
  </si>
  <si>
    <t>Scenario Analysis</t>
  </si>
  <si>
    <t>Oil_Rev</t>
  </si>
  <si>
    <t>Nowcasting GDP</t>
  </si>
  <si>
    <t>Thousands SAR</t>
  </si>
  <si>
    <t>Nowcasting Government Performance</t>
  </si>
  <si>
    <t>Revenues</t>
  </si>
  <si>
    <t>Expenditures</t>
  </si>
  <si>
    <t>Deficit/Surplus</t>
  </si>
  <si>
    <t>GovEx</t>
  </si>
  <si>
    <t>Exports</t>
  </si>
  <si>
    <t>Imports</t>
  </si>
  <si>
    <t>Trade Volume</t>
  </si>
  <si>
    <t>Trade Balance</t>
  </si>
  <si>
    <t>GDP By Main Economics Activity</t>
  </si>
  <si>
    <t>Government Revenues</t>
  </si>
  <si>
    <t>Government Expenditures</t>
  </si>
  <si>
    <t>Quarter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</si>
  <si>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</si>
  <si>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</si>
  <si>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</si>
  <si>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</si>
  <si>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</si>
  <si>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</si>
  <si>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</si>
  <si>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</si>
  <si>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</si>
  <si>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</si>
  <si>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</si>
  <si>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</si>
  <si>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</si>
  <si>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</si>
  <si>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</si>
  <si>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</si>
  <si>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</si>
  <si>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</si>
  <si>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</si>
  <si>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</si>
  <si>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</si>
  <si>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</si>
  <si>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</si>
  <si>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</si>
  <si>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</si>
  <si>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</si>
  <si>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</si>
  <si>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</si>
  <si>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</si>
  <si>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</si>
  <si>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</si>
  <si>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</si>
  <si>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</si>
  <si>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</si>
  <si>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</si>
  <si>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</si>
  <si>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</si>
  <si>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Year</t>
  </si>
  <si>
    <t>Time Period</t>
  </si>
  <si>
    <t>Date;</t>
  </si>
  <si>
    <t>OBS_VALUE</t>
  </si>
  <si>
    <t>Gross Doemstic Product</t>
  </si>
  <si>
    <t>International Trade</t>
  </si>
  <si>
    <t>Mining &amp; Quarrying</t>
  </si>
  <si>
    <t>Crude Petroleum &amp; Natural Gas</t>
  </si>
  <si>
    <t>Other Mining &amp; Quarrying</t>
  </si>
  <si>
    <t>Manufacturing</t>
  </si>
  <si>
    <t>Petroleum Refining</t>
  </si>
  <si>
    <t>Construction</t>
  </si>
  <si>
    <t>Transport, Storage &amp; Communication</t>
  </si>
  <si>
    <t>Finance, Insurance, Real Estate &amp; Business Services</t>
  </si>
  <si>
    <t>Real Estate</t>
  </si>
  <si>
    <t>Finance , Insurance and Business services</t>
  </si>
  <si>
    <t>Community, Social &amp; Personal Services</t>
  </si>
  <si>
    <t>GDP  By Kind of economic activities</t>
  </si>
  <si>
    <t>Agriculture</t>
  </si>
  <si>
    <t>Energy</t>
  </si>
  <si>
    <t>Trade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</si>
  <si>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</si>
  <si>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</si>
  <si>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</si>
  <si>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</si>
  <si>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</si>
  <si>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</si>
  <si>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</si>
  <si>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</si>
  <si>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</si>
  <si>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</si>
  <si>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</si>
  <si>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</si>
  <si>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</si>
  <si>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</si>
  <si>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</si>
  <si>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</si>
  <si>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</si>
  <si>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</si>
  <si>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</si>
  <si>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</si>
  <si>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</si>
  <si>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</si>
  <si>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</si>
  <si>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</si>
  <si>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</si>
  <si>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</si>
  <si>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</si>
  <si>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</si>
  <si>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</si>
  <si>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</si>
  <si>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</si>
  <si>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</si>
  <si>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</si>
  <si>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</si>
  <si>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</si>
  <si>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</si>
  <si>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Quarter2</t>
  </si>
  <si>
    <t>GVA</t>
  </si>
  <si>
    <t>Net Taxes of Products</t>
  </si>
  <si>
    <t>GDP</t>
  </si>
  <si>
    <t>Non Sorted</t>
  </si>
  <si>
    <t>Sorted</t>
  </si>
  <si>
    <t>Quarter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</si>
</sst>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"/>
    <numFmt numFmtId="167" formatCode="#,##0;[Red]#,##0"/>
  </numFmts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00206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8"/>
      <color rgb="FF002060"/>
      <name val="Aptos Narrow"/>
      <family val="2"/>
      <scheme val="minor"/>
    </font>
    <font>
      <b/>
      <sz val="8"/>
      <color rgb="FF00206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1"/>
      </left>
      <right style="thin">
        <color theme="1" tint="0.499984740745262"/>
      </right>
      <top style="thick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/>
      </right>
      <top style="thick">
        <color theme="1"/>
      </top>
      <bottom style="thin">
        <color theme="1" tint="0.499984740745262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ck">
        <color theme="1"/>
      </bottom>
      <diagonal/>
    </border>
    <border>
      <left style="thin">
        <color theme="1" tint="0.499984740745262"/>
      </left>
      <right style="thick">
        <color theme="1"/>
      </right>
      <top style="thin">
        <color theme="1" tint="0.499984740745262"/>
      </top>
      <bottom style="thick">
        <color theme="1"/>
      </bottom>
      <diagonal/>
    </border>
    <border>
      <left style="thick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1">
    <xf numFmtId="0" fontId="0" fillId="0" borderId="0" xfId="0"/>
    <xf numFmtId="1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0" fillId="3" borderId="2" xfId="0" applyFill="1" applyBorder="1"/>
    <xf numFmtId="0" fontId="0" fillId="3" borderId="4" xfId="0" applyFill="1" applyBorder="1"/>
    <xf numFmtId="165" fontId="0" fillId="3" borderId="5" xfId="1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4" fontId="8" fillId="3" borderId="0" xfId="0" applyNumberFormat="1" applyFont="1" applyFill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9" fillId="3" borderId="0" xfId="0" applyFont="1" applyFill="1"/>
    <xf numFmtId="3" fontId="9" fillId="3" borderId="0" xfId="0" applyNumberFormat="1" applyFont="1" applyFill="1"/>
    <xf numFmtId="4" fontId="9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4" fontId="9" fillId="3" borderId="0" xfId="0" applyNumberFormat="1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0" fillId="3" borderId="6" xfId="0" applyFill="1" applyBorder="1"/>
    <xf numFmtId="165" fontId="0" fillId="3" borderId="7" xfId="1" applyNumberFormat="1" applyFont="1" applyFill="1" applyBorder="1" applyAlignment="1">
      <alignment horizontal="center" vertical="center"/>
    </xf>
    <xf numFmtId="3" fontId="0" fillId="3" borderId="3" xfId="1" applyNumberFormat="1" applyFont="1" applyFill="1" applyBorder="1" applyAlignment="1">
      <alignment horizontal="center" vertical="center"/>
    </xf>
    <xf numFmtId="167" fontId="0" fillId="3" borderId="3" xfId="1" applyNumberFormat="1" applyFont="1" applyFill="1" applyBorder="1" applyAlignment="1">
      <alignment horizontal="center" vertical="center"/>
    </xf>
    <xf numFmtId="167" fontId="0" fillId="3" borderId="7" xfId="1" applyNumberFormat="1" applyFont="1" applyFill="1" applyBorder="1" applyAlignment="1">
      <alignment horizontal="center" vertical="center"/>
    </xf>
    <xf numFmtId="167" fontId="0" fillId="3" borderId="5" xfId="1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4" fontId="9" fillId="3" borderId="0" xfId="0" applyNumberFormat="1" applyFont="1" applyFill="1" applyAlignment="1">
      <alignment horizontal="center" vertical="center" wrapText="1"/>
    </xf>
    <xf numFmtId="14" fontId="12" fillId="3" borderId="0" xfId="0" applyNumberFormat="1" applyFont="1" applyFill="1" applyAlignment="1">
      <alignment horizontal="left" vertical="center"/>
    </xf>
    <xf numFmtId="14" fontId="13" fillId="3" borderId="0" xfId="0" applyNumberFormat="1" applyFont="1" applyFill="1" applyAlignment="1">
      <alignment horizontal="left" vertical="center"/>
    </xf>
    <xf numFmtId="3" fontId="9" fillId="3" borderId="0" xfId="0" applyNumberFormat="1" applyFont="1" applyFill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3" fontId="15" fillId="3" borderId="0" xfId="0" applyNumberFormat="1" applyFont="1" applyFill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4" fontId="0" fillId="0" borderId="0" xfId="0" applyNumberFormat="1"/>
    <xf numFmtId="0" fontId="1" fillId="5" borderId="16" xfId="0" applyFont="1" applyFill="1" applyBorder="1"/>
    <xf numFmtId="0" fontId="1" fillId="5" borderId="17" xfId="0" applyFont="1" applyFill="1" applyBorder="1"/>
    <xf numFmtId="0" fontId="9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5" borderId="16" xfId="0" applyFont="1" applyFill="1" applyBorder="1" applyAlignment="1">
      <alignment wrapText="1"/>
    </xf>
    <xf numFmtId="0" fontId="9" fillId="6" borderId="0" xfId="0" applyFont="1" applyFill="1"/>
    <xf numFmtId="3" fontId="9" fillId="3" borderId="0" xfId="0" applyNumberFormat="1" applyFont="1" applyFill="1" applyAlignment="1">
      <alignment horizontal="left" vertical="center" wrapText="1"/>
    </xf>
    <xf numFmtId="0" fontId="9" fillId="3" borderId="11" xfId="0" applyFont="1" applyFill="1" applyBorder="1" applyAlignment="1">
      <alignment horizontal="left" vertical="center" indent="4"/>
    </xf>
    <xf numFmtId="0" fontId="9" fillId="3" borderId="0" xfId="0" applyFont="1" applyFill="1" applyAlignment="1">
      <alignment horizontal="left" vertical="center" indent="4"/>
    </xf>
    <xf numFmtId="0" fontId="9" fillId="3" borderId="13" xfId="0" applyFont="1" applyFill="1" applyBorder="1" applyAlignment="1">
      <alignment horizontal="left" vertical="center" indent="4"/>
    </xf>
    <xf numFmtId="0" fontId="9" fillId="3" borderId="14" xfId="0" applyFont="1" applyFill="1" applyBorder="1" applyAlignment="1">
      <alignment horizontal="left" vertical="center" indent="4"/>
    </xf>
    <xf numFmtId="0" fontId="13" fillId="3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78">
    <dxf>
      <numFmt numFmtId="0" formatCode="General"/>
    </dxf>
    <dxf>
      <font>
        <sz val="8"/>
      </font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sz val="8"/>
      </font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sz val="8"/>
      </font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Data!$D$51</c:f>
              <c:strCache>
                <c:ptCount val="1"/>
                <c:pt idx="0">
                  <c:v>Oil Activities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Data!$B$52:$B$87</c:f>
              <c:numCache>
                <c:formatCode>m/d/yyyy</c:formatCode>
                <c:ptCount val="36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  <c:pt idx="23">
                  <c:v>44926</c:v>
                </c:pt>
                <c:pt idx="24">
                  <c:v>45016</c:v>
                </c:pt>
                <c:pt idx="25">
                  <c:v>45107</c:v>
                </c:pt>
                <c:pt idx="26">
                  <c:v>45199</c:v>
                </c:pt>
                <c:pt idx="27">
                  <c:v>45291</c:v>
                </c:pt>
                <c:pt idx="28">
                  <c:v>45382</c:v>
                </c:pt>
                <c:pt idx="29">
                  <c:v>45473</c:v>
                </c:pt>
                <c:pt idx="30">
                  <c:v>45565</c:v>
                </c:pt>
                <c:pt idx="31">
                  <c:v>45657</c:v>
                </c:pt>
                <c:pt idx="32">
                  <c:v>45747</c:v>
                </c:pt>
                <c:pt idx="33">
                  <c:v>45838</c:v>
                </c:pt>
                <c:pt idx="34">
                  <c:v>45930</c:v>
                </c:pt>
                <c:pt idx="35">
                  <c:v>46022</c:v>
                </c:pt>
              </c:numCache>
            </c:numRef>
          </c:cat>
          <c:val>
            <c:numRef>
              <c:f>Data!$D$52:$D$87</c:f>
              <c:numCache>
                <c:formatCode>#,##0</c:formatCode>
                <c:ptCount val="36"/>
                <c:pt idx="0">
                  <c:v>323387</c:v>
                </c:pt>
                <c:pt idx="1">
                  <c:v>327933</c:v>
                </c:pt>
                <c:pt idx="2">
                  <c:v>332904</c:v>
                </c:pt>
                <c:pt idx="3">
                  <c:v>329685</c:v>
                </c:pt>
                <c:pt idx="4">
                  <c:v>324708</c:v>
                </c:pt>
                <c:pt idx="5">
                  <c:v>331130</c:v>
                </c:pt>
                <c:pt idx="6">
                  <c:v>344068</c:v>
                </c:pt>
                <c:pt idx="7">
                  <c:v>351618</c:v>
                </c:pt>
                <c:pt idx="8">
                  <c:v>327142</c:v>
                </c:pt>
                <c:pt idx="9">
                  <c:v>320037</c:v>
                </c:pt>
                <c:pt idx="10">
                  <c:v>320876</c:v>
                </c:pt>
                <c:pt idx="11">
                  <c:v>330154</c:v>
                </c:pt>
                <c:pt idx="12">
                  <c:v>309888</c:v>
                </c:pt>
                <c:pt idx="13">
                  <c:v>302324</c:v>
                </c:pt>
                <c:pt idx="14">
                  <c:v>293491</c:v>
                </c:pt>
                <c:pt idx="15">
                  <c:v>303070</c:v>
                </c:pt>
                <c:pt idx="16">
                  <c:v>277957</c:v>
                </c:pt>
                <c:pt idx="17">
                  <c:v>284060</c:v>
                </c:pt>
                <c:pt idx="18">
                  <c:v>322329</c:v>
                </c:pt>
                <c:pt idx="19">
                  <c:v>339208</c:v>
                </c:pt>
                <c:pt idx="20">
                  <c:v>333944</c:v>
                </c:pt>
                <c:pt idx="21">
                  <c:v>347996</c:v>
                </c:pt>
                <c:pt idx="22">
                  <c:v>367470</c:v>
                </c:pt>
                <c:pt idx="23">
                  <c:v>357207</c:v>
                </c:pt>
                <c:pt idx="24">
                  <c:v>336549</c:v>
                </c:pt>
                <c:pt idx="25">
                  <c:v>335233</c:v>
                </c:pt>
                <c:pt idx="26">
                  <c:v>308276</c:v>
                </c:pt>
                <c:pt idx="27">
                  <c:v>299276</c:v>
                </c:pt>
                <c:pt idx="28">
                  <c:v>299037</c:v>
                </c:pt>
                <c:pt idx="29">
                  <c:v>305639</c:v>
                </c:pt>
                <c:pt idx="30">
                  <c:v>308513</c:v>
                </c:pt>
                <c:pt idx="31">
                  <c:v>309764</c:v>
                </c:pt>
                <c:pt idx="32">
                  <c:v>297747</c:v>
                </c:pt>
                <c:pt idx="33">
                  <c:v>317441</c:v>
                </c:pt>
                <c:pt idx="34">
                  <c:v>334013</c:v>
                </c:pt>
                <c:pt idx="35">
                  <c:v>343238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CF-4D67-9A6A-7517B3E7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934111"/>
        <c:axId val="189294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Data!$F$51</c15:sqref>
                        </c15:formulaRef>
                      </c:ext>
                    </c:extLst>
                    <c:strCache>
                      <c:ptCount val="1"/>
                      <c:pt idx="0">
                        <c:v>Government Activities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Data!$B$52:$B$87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42825</c:v>
                      </c:pt>
                      <c:pt idx="1">
                        <c:v>42916</c:v>
                      </c:pt>
                      <c:pt idx="2">
                        <c:v>43008</c:v>
                      </c:pt>
                      <c:pt idx="3">
                        <c:v>43100</c:v>
                      </c:pt>
                      <c:pt idx="4">
                        <c:v>43190</c:v>
                      </c:pt>
                      <c:pt idx="5">
                        <c:v>43281</c:v>
                      </c:pt>
                      <c:pt idx="6">
                        <c:v>43373</c:v>
                      </c:pt>
                      <c:pt idx="7">
                        <c:v>43465</c:v>
                      </c:pt>
                      <c:pt idx="8">
                        <c:v>43555</c:v>
                      </c:pt>
                      <c:pt idx="9">
                        <c:v>43646</c:v>
                      </c:pt>
                      <c:pt idx="10">
                        <c:v>43738</c:v>
                      </c:pt>
                      <c:pt idx="11">
                        <c:v>43830</c:v>
                      </c:pt>
                      <c:pt idx="12">
                        <c:v>43921</c:v>
                      </c:pt>
                      <c:pt idx="13">
                        <c:v>44012</c:v>
                      </c:pt>
                      <c:pt idx="14">
                        <c:v>44104</c:v>
                      </c:pt>
                      <c:pt idx="15">
                        <c:v>44196</c:v>
                      </c:pt>
                      <c:pt idx="16">
                        <c:v>44286</c:v>
                      </c:pt>
                      <c:pt idx="17">
                        <c:v>44377</c:v>
                      </c:pt>
                      <c:pt idx="18">
                        <c:v>44469</c:v>
                      </c:pt>
                      <c:pt idx="19">
                        <c:v>44561</c:v>
                      </c:pt>
                      <c:pt idx="20">
                        <c:v>44651</c:v>
                      </c:pt>
                      <c:pt idx="21">
                        <c:v>44742</c:v>
                      </c:pt>
                      <c:pt idx="22">
                        <c:v>44834</c:v>
                      </c:pt>
                      <c:pt idx="23">
                        <c:v>44926</c:v>
                      </c:pt>
                      <c:pt idx="24">
                        <c:v>45016</c:v>
                      </c:pt>
                      <c:pt idx="25">
                        <c:v>45107</c:v>
                      </c:pt>
                      <c:pt idx="26">
                        <c:v>45199</c:v>
                      </c:pt>
                      <c:pt idx="27">
                        <c:v>45291</c:v>
                      </c:pt>
                      <c:pt idx="28">
                        <c:v>45382</c:v>
                      </c:pt>
                      <c:pt idx="29">
                        <c:v>45473</c:v>
                      </c:pt>
                      <c:pt idx="30">
                        <c:v>45565</c:v>
                      </c:pt>
                      <c:pt idx="31">
                        <c:v>45657</c:v>
                      </c:pt>
                      <c:pt idx="32">
                        <c:v>45747</c:v>
                      </c:pt>
                      <c:pt idx="33">
                        <c:v>45838</c:v>
                      </c:pt>
                      <c:pt idx="34">
                        <c:v>45930</c:v>
                      </c:pt>
                      <c:pt idx="35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Data!$F$52:$F$87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141861</c:v>
                      </c:pt>
                      <c:pt idx="1">
                        <c:v>129052</c:v>
                      </c:pt>
                      <c:pt idx="2">
                        <c:v>122371</c:v>
                      </c:pt>
                      <c:pt idx="3">
                        <c:v>160031</c:v>
                      </c:pt>
                      <c:pt idx="4">
                        <c:v>148584</c:v>
                      </c:pt>
                      <c:pt idx="5">
                        <c:v>139218</c:v>
                      </c:pt>
                      <c:pt idx="6">
                        <c:v>123729</c:v>
                      </c:pt>
                      <c:pt idx="7">
                        <c:v>163205</c:v>
                      </c:pt>
                      <c:pt idx="8">
                        <c:v>150640</c:v>
                      </c:pt>
                      <c:pt idx="9">
                        <c:v>140746</c:v>
                      </c:pt>
                      <c:pt idx="10">
                        <c:v>129495</c:v>
                      </c:pt>
                      <c:pt idx="11">
                        <c:v>163790</c:v>
                      </c:pt>
                      <c:pt idx="12">
                        <c:v>151274</c:v>
                      </c:pt>
                      <c:pt idx="13">
                        <c:v>137925</c:v>
                      </c:pt>
                      <c:pt idx="14">
                        <c:v>130398</c:v>
                      </c:pt>
                      <c:pt idx="15">
                        <c:v>161578</c:v>
                      </c:pt>
                      <c:pt idx="16">
                        <c:v>154050</c:v>
                      </c:pt>
                      <c:pt idx="17">
                        <c:v>133593</c:v>
                      </c:pt>
                      <c:pt idx="18">
                        <c:v>134952</c:v>
                      </c:pt>
                      <c:pt idx="19">
                        <c:v>165139</c:v>
                      </c:pt>
                      <c:pt idx="20">
                        <c:v>160997</c:v>
                      </c:pt>
                      <c:pt idx="21">
                        <c:v>139528</c:v>
                      </c:pt>
                      <c:pt idx="22">
                        <c:v>141144</c:v>
                      </c:pt>
                      <c:pt idx="23">
                        <c:v>173352</c:v>
                      </c:pt>
                      <c:pt idx="24">
                        <c:v>164264</c:v>
                      </c:pt>
                      <c:pt idx="25">
                        <c:v>138876</c:v>
                      </c:pt>
                      <c:pt idx="26">
                        <c:v>142784</c:v>
                      </c:pt>
                      <c:pt idx="27">
                        <c:v>175848</c:v>
                      </c:pt>
                      <c:pt idx="28">
                        <c:v>168528</c:v>
                      </c:pt>
                      <c:pt idx="29">
                        <c:v>145185</c:v>
                      </c:pt>
                      <c:pt idx="30">
                        <c:v>148589</c:v>
                      </c:pt>
                      <c:pt idx="31">
                        <c:v>180185</c:v>
                      </c:pt>
                      <c:pt idx="32">
                        <c:v>173860</c:v>
                      </c:pt>
                      <c:pt idx="33">
                        <c:v>145865</c:v>
                      </c:pt>
                      <c:pt idx="34">
                        <c:v>150604</c:v>
                      </c:pt>
                      <c:pt idx="35">
                        <c:v>178064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ECF-4D67-9A6A-7517B3E737B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Data!$G$51</c15:sqref>
                        </c15:formulaRef>
                      </c:ext>
                    </c:extLst>
                    <c:strCache>
                      <c:ptCount val="1"/>
                      <c:pt idx="0">
                        <c:v>Gross Value Added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Data!$B$52:$B$87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42825</c:v>
                      </c:pt>
                      <c:pt idx="1">
                        <c:v>42916</c:v>
                      </c:pt>
                      <c:pt idx="2">
                        <c:v>43008</c:v>
                      </c:pt>
                      <c:pt idx="3">
                        <c:v>43100</c:v>
                      </c:pt>
                      <c:pt idx="4">
                        <c:v>43190</c:v>
                      </c:pt>
                      <c:pt idx="5">
                        <c:v>43281</c:v>
                      </c:pt>
                      <c:pt idx="6">
                        <c:v>43373</c:v>
                      </c:pt>
                      <c:pt idx="7">
                        <c:v>43465</c:v>
                      </c:pt>
                      <c:pt idx="8">
                        <c:v>43555</c:v>
                      </c:pt>
                      <c:pt idx="9">
                        <c:v>43646</c:v>
                      </c:pt>
                      <c:pt idx="10">
                        <c:v>43738</c:v>
                      </c:pt>
                      <c:pt idx="11">
                        <c:v>43830</c:v>
                      </c:pt>
                      <c:pt idx="12">
                        <c:v>43921</c:v>
                      </c:pt>
                      <c:pt idx="13">
                        <c:v>44012</c:v>
                      </c:pt>
                      <c:pt idx="14">
                        <c:v>44104</c:v>
                      </c:pt>
                      <c:pt idx="15">
                        <c:v>44196</c:v>
                      </c:pt>
                      <c:pt idx="16">
                        <c:v>44286</c:v>
                      </c:pt>
                      <c:pt idx="17">
                        <c:v>44377</c:v>
                      </c:pt>
                      <c:pt idx="18">
                        <c:v>44469</c:v>
                      </c:pt>
                      <c:pt idx="19">
                        <c:v>44561</c:v>
                      </c:pt>
                      <c:pt idx="20">
                        <c:v>44651</c:v>
                      </c:pt>
                      <c:pt idx="21">
                        <c:v>44742</c:v>
                      </c:pt>
                      <c:pt idx="22">
                        <c:v>44834</c:v>
                      </c:pt>
                      <c:pt idx="23">
                        <c:v>44926</c:v>
                      </c:pt>
                      <c:pt idx="24">
                        <c:v>45016</c:v>
                      </c:pt>
                      <c:pt idx="25">
                        <c:v>45107</c:v>
                      </c:pt>
                      <c:pt idx="26">
                        <c:v>45199</c:v>
                      </c:pt>
                      <c:pt idx="27">
                        <c:v>45291</c:v>
                      </c:pt>
                      <c:pt idx="28">
                        <c:v>45382</c:v>
                      </c:pt>
                      <c:pt idx="29">
                        <c:v>45473</c:v>
                      </c:pt>
                      <c:pt idx="30">
                        <c:v>45565</c:v>
                      </c:pt>
                      <c:pt idx="31">
                        <c:v>45657</c:v>
                      </c:pt>
                      <c:pt idx="32">
                        <c:v>45747</c:v>
                      </c:pt>
                      <c:pt idx="33">
                        <c:v>45838</c:v>
                      </c:pt>
                      <c:pt idx="34">
                        <c:v>45930</c:v>
                      </c:pt>
                      <c:pt idx="3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Data!$G$52:$G$87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889235</c:v>
                      </c:pt>
                      <c:pt idx="1">
                        <c:v>878557</c:v>
                      </c:pt>
                      <c:pt idx="2">
                        <c:v>890649</c:v>
                      </c:pt>
                      <c:pt idx="3">
                        <c:v>938914</c:v>
                      </c:pt>
                      <c:pt idx="4">
                        <c:v>913445</c:v>
                      </c:pt>
                      <c:pt idx="5">
                        <c:v>912852</c:v>
                      </c:pt>
                      <c:pt idx="6">
                        <c:v>918207</c:v>
                      </c:pt>
                      <c:pt idx="7">
                        <c:v>969385</c:v>
                      </c:pt>
                      <c:pt idx="8">
                        <c:v>937130</c:v>
                      </c:pt>
                      <c:pt idx="9">
                        <c:v>925793</c:v>
                      </c:pt>
                      <c:pt idx="10">
                        <c:v>927830</c:v>
                      </c:pt>
                      <c:pt idx="11">
                        <c:v>973887</c:v>
                      </c:pt>
                      <c:pt idx="12">
                        <c:v>923962</c:v>
                      </c:pt>
                      <c:pt idx="13">
                        <c:v>860487</c:v>
                      </c:pt>
                      <c:pt idx="14">
                        <c:v>894908</c:v>
                      </c:pt>
                      <c:pt idx="15">
                        <c:v>945723</c:v>
                      </c:pt>
                      <c:pt idx="16">
                        <c:v>941024</c:v>
                      </c:pt>
                      <c:pt idx="17">
                        <c:v>918391</c:v>
                      </c:pt>
                      <c:pt idx="18">
                        <c:v>972209</c:v>
                      </c:pt>
                      <c:pt idx="19">
                        <c:v>1032113</c:v>
                      </c:pt>
                      <c:pt idx="20">
                        <c:v>1043890</c:v>
                      </c:pt>
                      <c:pt idx="21">
                        <c:v>1049616</c:v>
                      </c:pt>
                      <c:pt idx="22">
                        <c:v>1097837</c:v>
                      </c:pt>
                      <c:pt idx="23">
                        <c:v>1131314</c:v>
                      </c:pt>
                      <c:pt idx="24">
                        <c:v>1100849</c:v>
                      </c:pt>
                      <c:pt idx="25">
                        <c:v>1076593</c:v>
                      </c:pt>
                      <c:pt idx="26">
                        <c:v>1062954</c:v>
                      </c:pt>
                      <c:pt idx="27">
                        <c:v>1092493</c:v>
                      </c:pt>
                      <c:pt idx="28">
                        <c:v>1103316</c:v>
                      </c:pt>
                      <c:pt idx="29">
                        <c:v>1087887</c:v>
                      </c:pt>
                      <c:pt idx="30">
                        <c:v>1103807</c:v>
                      </c:pt>
                      <c:pt idx="31">
                        <c:v>1148225</c:v>
                      </c:pt>
                      <c:pt idx="32">
                        <c:v>1143676</c:v>
                      </c:pt>
                      <c:pt idx="33">
                        <c:v>1135894</c:v>
                      </c:pt>
                      <c:pt idx="34">
                        <c:v>1157788</c:v>
                      </c:pt>
                      <c:pt idx="35">
                        <c:v>1206974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CF-4D67-9A6A-7517B3E737B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Data!$H$51</c15:sqref>
                        </c15:formulaRef>
                      </c:ext>
                    </c:extLst>
                    <c:strCache>
                      <c:ptCount val="1"/>
                      <c:pt idx="0">
                        <c:v> Net Taxes on Products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Data!$B$52:$B$87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42825</c:v>
                      </c:pt>
                      <c:pt idx="1">
                        <c:v>42916</c:v>
                      </c:pt>
                      <c:pt idx="2">
                        <c:v>43008</c:v>
                      </c:pt>
                      <c:pt idx="3">
                        <c:v>43100</c:v>
                      </c:pt>
                      <c:pt idx="4">
                        <c:v>43190</c:v>
                      </c:pt>
                      <c:pt idx="5">
                        <c:v>43281</c:v>
                      </c:pt>
                      <c:pt idx="6">
                        <c:v>43373</c:v>
                      </c:pt>
                      <c:pt idx="7">
                        <c:v>43465</c:v>
                      </c:pt>
                      <c:pt idx="8">
                        <c:v>43555</c:v>
                      </c:pt>
                      <c:pt idx="9">
                        <c:v>43646</c:v>
                      </c:pt>
                      <c:pt idx="10">
                        <c:v>43738</c:v>
                      </c:pt>
                      <c:pt idx="11">
                        <c:v>43830</c:v>
                      </c:pt>
                      <c:pt idx="12">
                        <c:v>43921</c:v>
                      </c:pt>
                      <c:pt idx="13">
                        <c:v>44012</c:v>
                      </c:pt>
                      <c:pt idx="14">
                        <c:v>44104</c:v>
                      </c:pt>
                      <c:pt idx="15">
                        <c:v>44196</c:v>
                      </c:pt>
                      <c:pt idx="16">
                        <c:v>44286</c:v>
                      </c:pt>
                      <c:pt idx="17">
                        <c:v>44377</c:v>
                      </c:pt>
                      <c:pt idx="18">
                        <c:v>44469</c:v>
                      </c:pt>
                      <c:pt idx="19">
                        <c:v>44561</c:v>
                      </c:pt>
                      <c:pt idx="20">
                        <c:v>44651</c:v>
                      </c:pt>
                      <c:pt idx="21">
                        <c:v>44742</c:v>
                      </c:pt>
                      <c:pt idx="22">
                        <c:v>44834</c:v>
                      </c:pt>
                      <c:pt idx="23">
                        <c:v>44926</c:v>
                      </c:pt>
                      <c:pt idx="24">
                        <c:v>45016</c:v>
                      </c:pt>
                      <c:pt idx="25">
                        <c:v>45107</c:v>
                      </c:pt>
                      <c:pt idx="26">
                        <c:v>45199</c:v>
                      </c:pt>
                      <c:pt idx="27">
                        <c:v>45291</c:v>
                      </c:pt>
                      <c:pt idx="28">
                        <c:v>45382</c:v>
                      </c:pt>
                      <c:pt idx="29">
                        <c:v>45473</c:v>
                      </c:pt>
                      <c:pt idx="30">
                        <c:v>45565</c:v>
                      </c:pt>
                      <c:pt idx="31">
                        <c:v>45657</c:v>
                      </c:pt>
                      <c:pt idx="32">
                        <c:v>45747</c:v>
                      </c:pt>
                      <c:pt idx="33">
                        <c:v>45838</c:v>
                      </c:pt>
                      <c:pt idx="34">
                        <c:v>45930</c:v>
                      </c:pt>
                      <c:pt idx="3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Data!$H$52:$H$87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41728</c:v>
                      </c:pt>
                      <c:pt idx="1">
                        <c:v>46796</c:v>
                      </c:pt>
                      <c:pt idx="2">
                        <c:v>39464</c:v>
                      </c:pt>
                      <c:pt idx="3">
                        <c:v>45812</c:v>
                      </c:pt>
                      <c:pt idx="4">
                        <c:v>42822</c:v>
                      </c:pt>
                      <c:pt idx="5">
                        <c:v>46922</c:v>
                      </c:pt>
                      <c:pt idx="6">
                        <c:v>40861</c:v>
                      </c:pt>
                      <c:pt idx="7">
                        <c:v>46254</c:v>
                      </c:pt>
                      <c:pt idx="8">
                        <c:v>48676</c:v>
                      </c:pt>
                      <c:pt idx="9">
                        <c:v>49877</c:v>
                      </c:pt>
                      <c:pt idx="10">
                        <c:v>49855</c:v>
                      </c:pt>
                      <c:pt idx="11">
                        <c:v>50645</c:v>
                      </c:pt>
                      <c:pt idx="12">
                        <c:v>49058</c:v>
                      </c:pt>
                      <c:pt idx="13">
                        <c:v>41706</c:v>
                      </c:pt>
                      <c:pt idx="14">
                        <c:v>45619</c:v>
                      </c:pt>
                      <c:pt idx="15">
                        <c:v>48245</c:v>
                      </c:pt>
                      <c:pt idx="16">
                        <c:v>47756</c:v>
                      </c:pt>
                      <c:pt idx="17">
                        <c:v>47040</c:v>
                      </c:pt>
                      <c:pt idx="18">
                        <c:v>48339</c:v>
                      </c:pt>
                      <c:pt idx="19">
                        <c:v>50812</c:v>
                      </c:pt>
                      <c:pt idx="20">
                        <c:v>54779</c:v>
                      </c:pt>
                      <c:pt idx="21">
                        <c:v>55090</c:v>
                      </c:pt>
                      <c:pt idx="22">
                        <c:v>55264</c:v>
                      </c:pt>
                      <c:pt idx="23">
                        <c:v>55966</c:v>
                      </c:pt>
                      <c:pt idx="24">
                        <c:v>58986</c:v>
                      </c:pt>
                      <c:pt idx="25">
                        <c:v>58306</c:v>
                      </c:pt>
                      <c:pt idx="26">
                        <c:v>60008</c:v>
                      </c:pt>
                      <c:pt idx="27">
                        <c:v>59505</c:v>
                      </c:pt>
                      <c:pt idx="28">
                        <c:v>60874</c:v>
                      </c:pt>
                      <c:pt idx="29">
                        <c:v>60437</c:v>
                      </c:pt>
                      <c:pt idx="30">
                        <c:v>62843</c:v>
                      </c:pt>
                      <c:pt idx="31">
                        <c:v>63352</c:v>
                      </c:pt>
                      <c:pt idx="32">
                        <c:v>63346</c:v>
                      </c:pt>
                      <c:pt idx="33">
                        <c:v>63624</c:v>
                      </c:pt>
                      <c:pt idx="34">
                        <c:v>65065</c:v>
                      </c:pt>
                      <c:pt idx="35">
                        <c:v>65609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ECF-4D67-9A6A-7517B3E737B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Data!$I$51</c15:sqref>
                        </c15:formulaRef>
                      </c:ext>
                    </c:extLst>
                    <c:strCache>
                      <c:ptCount val="1"/>
                      <c:pt idx="0">
                        <c:v>Gross Domestic Product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Data!$B$52:$B$87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42825</c:v>
                      </c:pt>
                      <c:pt idx="1">
                        <c:v>42916</c:v>
                      </c:pt>
                      <c:pt idx="2">
                        <c:v>43008</c:v>
                      </c:pt>
                      <c:pt idx="3">
                        <c:v>43100</c:v>
                      </c:pt>
                      <c:pt idx="4">
                        <c:v>43190</c:v>
                      </c:pt>
                      <c:pt idx="5">
                        <c:v>43281</c:v>
                      </c:pt>
                      <c:pt idx="6">
                        <c:v>43373</c:v>
                      </c:pt>
                      <c:pt idx="7">
                        <c:v>43465</c:v>
                      </c:pt>
                      <c:pt idx="8">
                        <c:v>43555</c:v>
                      </c:pt>
                      <c:pt idx="9">
                        <c:v>43646</c:v>
                      </c:pt>
                      <c:pt idx="10">
                        <c:v>43738</c:v>
                      </c:pt>
                      <c:pt idx="11">
                        <c:v>43830</c:v>
                      </c:pt>
                      <c:pt idx="12">
                        <c:v>43921</c:v>
                      </c:pt>
                      <c:pt idx="13">
                        <c:v>44012</c:v>
                      </c:pt>
                      <c:pt idx="14">
                        <c:v>44104</c:v>
                      </c:pt>
                      <c:pt idx="15">
                        <c:v>44196</c:v>
                      </c:pt>
                      <c:pt idx="16">
                        <c:v>44286</c:v>
                      </c:pt>
                      <c:pt idx="17">
                        <c:v>44377</c:v>
                      </c:pt>
                      <c:pt idx="18">
                        <c:v>44469</c:v>
                      </c:pt>
                      <c:pt idx="19">
                        <c:v>44561</c:v>
                      </c:pt>
                      <c:pt idx="20">
                        <c:v>44651</c:v>
                      </c:pt>
                      <c:pt idx="21">
                        <c:v>44742</c:v>
                      </c:pt>
                      <c:pt idx="22">
                        <c:v>44834</c:v>
                      </c:pt>
                      <c:pt idx="23">
                        <c:v>44926</c:v>
                      </c:pt>
                      <c:pt idx="24">
                        <c:v>45016</c:v>
                      </c:pt>
                      <c:pt idx="25">
                        <c:v>45107</c:v>
                      </c:pt>
                      <c:pt idx="26">
                        <c:v>45199</c:v>
                      </c:pt>
                      <c:pt idx="27">
                        <c:v>45291</c:v>
                      </c:pt>
                      <c:pt idx="28">
                        <c:v>45382</c:v>
                      </c:pt>
                      <c:pt idx="29">
                        <c:v>45473</c:v>
                      </c:pt>
                      <c:pt idx="30">
                        <c:v>45565</c:v>
                      </c:pt>
                      <c:pt idx="31">
                        <c:v>45657</c:v>
                      </c:pt>
                      <c:pt idx="32">
                        <c:v>45747</c:v>
                      </c:pt>
                      <c:pt idx="33">
                        <c:v>45838</c:v>
                      </c:pt>
                      <c:pt idx="34">
                        <c:v>45930</c:v>
                      </c:pt>
                      <c:pt idx="35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Data!$I$52:$I$87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932702</c:v>
                      </c:pt>
                      <c:pt idx="1">
                        <c:v>922635</c:v>
                      </c:pt>
                      <c:pt idx="2">
                        <c:v>933711</c:v>
                      </c:pt>
                      <c:pt idx="3">
                        <c:v>985165</c:v>
                      </c:pt>
                      <c:pt idx="4">
                        <c:v>958113</c:v>
                      </c:pt>
                      <c:pt idx="5">
                        <c:v>958245</c:v>
                      </c:pt>
                      <c:pt idx="6">
                        <c:v>962710</c:v>
                      </c:pt>
                      <c:pt idx="7">
                        <c:v>1016937</c:v>
                      </c:pt>
                      <c:pt idx="8">
                        <c:v>985357</c:v>
                      </c:pt>
                      <c:pt idx="9">
                        <c:v>974442</c:v>
                      </c:pt>
                      <c:pt idx="10">
                        <c:v>976512</c:v>
                      </c:pt>
                      <c:pt idx="11">
                        <c:v>1024040</c:v>
                      </c:pt>
                      <c:pt idx="12">
                        <c:v>972107</c:v>
                      </c:pt>
                      <c:pt idx="13">
                        <c:v>903140</c:v>
                      </c:pt>
                      <c:pt idx="14">
                        <c:v>940499</c:v>
                      </c:pt>
                      <c:pt idx="15">
                        <c:v>993922</c:v>
                      </c:pt>
                      <c:pt idx="16">
                        <c:v>988793</c:v>
                      </c:pt>
                      <c:pt idx="17">
                        <c:v>965383</c:v>
                      </c:pt>
                      <c:pt idx="18">
                        <c:v>1020704</c:v>
                      </c:pt>
                      <c:pt idx="19">
                        <c:v>1083163</c:v>
                      </c:pt>
                      <c:pt idx="20">
                        <c:v>1099270</c:v>
                      </c:pt>
                      <c:pt idx="21">
                        <c:v>1105314</c:v>
                      </c:pt>
                      <c:pt idx="22">
                        <c:v>1153237</c:v>
                      </c:pt>
                      <c:pt idx="23">
                        <c:v>1187211</c:v>
                      </c:pt>
                      <c:pt idx="24">
                        <c:v>1159934</c:v>
                      </c:pt>
                      <c:pt idx="25">
                        <c:v>1134944</c:v>
                      </c:pt>
                      <c:pt idx="26">
                        <c:v>1122801</c:v>
                      </c:pt>
                      <c:pt idx="27">
                        <c:v>1152014</c:v>
                      </c:pt>
                      <c:pt idx="28">
                        <c:v>1164190</c:v>
                      </c:pt>
                      <c:pt idx="29">
                        <c:v>1148324</c:v>
                      </c:pt>
                      <c:pt idx="30">
                        <c:v>1166650</c:v>
                      </c:pt>
                      <c:pt idx="31">
                        <c:v>1211577</c:v>
                      </c:pt>
                      <c:pt idx="32">
                        <c:v>1207010</c:v>
                      </c:pt>
                      <c:pt idx="33">
                        <c:v>1199530</c:v>
                      </c:pt>
                      <c:pt idx="34">
                        <c:v>1222872</c:v>
                      </c:pt>
                      <c:pt idx="35">
                        <c:v>1272528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CF-4D67-9A6A-7517B3E737BF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1"/>
          <c:tx>
            <c:v>Non Oil Activities (RHS)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Data!$B$52:$B$87</c:f>
              <c:numCache>
                <c:formatCode>m/d/yyyy</c:formatCode>
                <c:ptCount val="36"/>
                <c:pt idx="0">
                  <c:v>42825</c:v>
                </c:pt>
                <c:pt idx="1">
                  <c:v>42916</c:v>
                </c:pt>
                <c:pt idx="2">
                  <c:v>43008</c:v>
                </c:pt>
                <c:pt idx="3">
                  <c:v>43100</c:v>
                </c:pt>
                <c:pt idx="4">
                  <c:v>43190</c:v>
                </c:pt>
                <c:pt idx="5">
                  <c:v>43281</c:v>
                </c:pt>
                <c:pt idx="6">
                  <c:v>43373</c:v>
                </c:pt>
                <c:pt idx="7">
                  <c:v>43465</c:v>
                </c:pt>
                <c:pt idx="8">
                  <c:v>43555</c:v>
                </c:pt>
                <c:pt idx="9">
                  <c:v>43646</c:v>
                </c:pt>
                <c:pt idx="10">
                  <c:v>43738</c:v>
                </c:pt>
                <c:pt idx="11">
                  <c:v>43830</c:v>
                </c:pt>
                <c:pt idx="12">
                  <c:v>43921</c:v>
                </c:pt>
                <c:pt idx="13">
                  <c:v>44012</c:v>
                </c:pt>
                <c:pt idx="14">
                  <c:v>44104</c:v>
                </c:pt>
                <c:pt idx="15">
                  <c:v>44196</c:v>
                </c:pt>
                <c:pt idx="16">
                  <c:v>44286</c:v>
                </c:pt>
                <c:pt idx="17">
                  <c:v>44377</c:v>
                </c:pt>
                <c:pt idx="18">
                  <c:v>44469</c:v>
                </c:pt>
                <c:pt idx="19">
                  <c:v>44561</c:v>
                </c:pt>
                <c:pt idx="20">
                  <c:v>44651</c:v>
                </c:pt>
                <c:pt idx="21">
                  <c:v>44742</c:v>
                </c:pt>
                <c:pt idx="22">
                  <c:v>44834</c:v>
                </c:pt>
                <c:pt idx="23">
                  <c:v>44926</c:v>
                </c:pt>
                <c:pt idx="24">
                  <c:v>45016</c:v>
                </c:pt>
                <c:pt idx="25">
                  <c:v>45107</c:v>
                </c:pt>
                <c:pt idx="26">
                  <c:v>45199</c:v>
                </c:pt>
                <c:pt idx="27">
                  <c:v>45291</c:v>
                </c:pt>
                <c:pt idx="28">
                  <c:v>45382</c:v>
                </c:pt>
                <c:pt idx="29">
                  <c:v>45473</c:v>
                </c:pt>
                <c:pt idx="30">
                  <c:v>45565</c:v>
                </c:pt>
                <c:pt idx="31">
                  <c:v>45657</c:v>
                </c:pt>
                <c:pt idx="32">
                  <c:v>45747</c:v>
                </c:pt>
                <c:pt idx="33">
                  <c:v>45838</c:v>
                </c:pt>
                <c:pt idx="34">
                  <c:v>45930</c:v>
                </c:pt>
                <c:pt idx="35">
                  <c:v>46022</c:v>
                </c:pt>
              </c:numCache>
            </c:numRef>
          </c:cat>
          <c:val>
            <c:numRef>
              <c:f>Data!$E$52:$E$87</c:f>
              <c:numCache>
                <c:formatCode>#,##0</c:formatCode>
                <c:ptCount val="36"/>
                <c:pt idx="0">
                  <c:v>427664</c:v>
                </c:pt>
                <c:pt idx="1">
                  <c:v>429552</c:v>
                </c:pt>
                <c:pt idx="2">
                  <c:v>443768</c:v>
                </c:pt>
                <c:pt idx="3">
                  <c:v>447054</c:v>
                </c:pt>
                <c:pt idx="4">
                  <c:v>441322</c:v>
                </c:pt>
                <c:pt idx="5">
                  <c:v>446211</c:v>
                </c:pt>
                <c:pt idx="6">
                  <c:v>458359</c:v>
                </c:pt>
                <c:pt idx="7">
                  <c:v>458356</c:v>
                </c:pt>
                <c:pt idx="8">
                  <c:v>461734</c:v>
                </c:pt>
                <c:pt idx="9">
                  <c:v>467902</c:v>
                </c:pt>
                <c:pt idx="10">
                  <c:v>481536</c:v>
                </c:pt>
                <c:pt idx="11">
                  <c:v>480815</c:v>
                </c:pt>
                <c:pt idx="12">
                  <c:v>462782</c:v>
                </c:pt>
                <c:pt idx="13">
                  <c:v>423274</c:v>
                </c:pt>
                <c:pt idx="14">
                  <c:v>471268</c:v>
                </c:pt>
                <c:pt idx="15">
                  <c:v>477549</c:v>
                </c:pt>
                <c:pt idx="16">
                  <c:v>490415</c:v>
                </c:pt>
                <c:pt idx="17">
                  <c:v>490817</c:v>
                </c:pt>
                <c:pt idx="18">
                  <c:v>516084</c:v>
                </c:pt>
                <c:pt idx="19">
                  <c:v>525212</c:v>
                </c:pt>
                <c:pt idx="20">
                  <c:v>540992</c:v>
                </c:pt>
                <c:pt idx="21">
                  <c:v>556594</c:v>
                </c:pt>
                <c:pt idx="22">
                  <c:v>584079</c:v>
                </c:pt>
                <c:pt idx="23">
                  <c:v>591823</c:v>
                </c:pt>
                <c:pt idx="24">
                  <c:v>597497</c:v>
                </c:pt>
                <c:pt idx="25">
                  <c:v>599052</c:v>
                </c:pt>
                <c:pt idx="26">
                  <c:v>613230</c:v>
                </c:pt>
                <c:pt idx="27">
                  <c:v>622004</c:v>
                </c:pt>
                <c:pt idx="28">
                  <c:v>635751</c:v>
                </c:pt>
                <c:pt idx="29">
                  <c:v>637063</c:v>
                </c:pt>
                <c:pt idx="30">
                  <c:v>646706</c:v>
                </c:pt>
                <c:pt idx="31">
                  <c:v>658276</c:v>
                </c:pt>
                <c:pt idx="32">
                  <c:v>670855</c:v>
                </c:pt>
                <c:pt idx="33">
                  <c:v>672861</c:v>
                </c:pt>
                <c:pt idx="34">
                  <c:v>674224</c:v>
                </c:pt>
                <c:pt idx="35">
                  <c:v>686497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CF-4D67-9A6A-7517B3E73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6928"/>
        <c:axId val="642862752"/>
      </c:lineChart>
      <c:dateAx>
        <c:axId val="18929341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40831"/>
        <c:crosses val="autoZero"/>
        <c:auto val="1"/>
        <c:lblOffset val="100"/>
        <c:baseTimeUnit val="months"/>
        <c:minorUnit val="6"/>
        <c:minorTimeUnit val="months"/>
      </c:dateAx>
      <c:valAx>
        <c:axId val="1892940831"/>
        <c:scaling>
          <c:orientation val="minMax"/>
          <c:min val="2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934111"/>
        <c:crosses val="autoZero"/>
        <c:crossBetween val="between"/>
      </c:valAx>
      <c:valAx>
        <c:axId val="642862752"/>
        <c:scaling>
          <c:orientation val="minMax"/>
          <c:min val="4000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928"/>
        <c:crosses val="max"/>
        <c:crossBetween val="between"/>
      </c:valAx>
      <c:dateAx>
        <c:axId val="174669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28627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59751490661155"/>
          <c:y val="0.14046450868105659"/>
          <c:w val="0.58141129085332943"/>
          <c:h val="0.83059863594246042"/>
        </c:manualLayout>
      </c:layout>
      <c:doughnutChart>
        <c:varyColors val="1"/>
        <c:ser>
          <c:idx val="0"/>
          <c:order val="0"/>
          <c:spPr>
            <a:ln w="952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2E-413F-B501-D91BB5DC69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2E-413F-B501-D91BB5DC69A9}"/>
              </c:ext>
            </c:extLst>
          </c:dPt>
          <c:dLbls>
            <c:dLbl>
              <c:idx val="0"/>
              <c:layout>
                <c:manualLayout>
                  <c:x val="0.11851756259633706"/>
                  <c:y val="-7.67294049928488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2E-413F-B501-D91BB5DC69A9}"/>
                </c:ext>
              </c:extLst>
            </c:dLbl>
            <c:dLbl>
              <c:idx val="1"/>
              <c:layout>
                <c:manualLayout>
                  <c:x val="-0.17539652244876469"/>
                  <c:y val="-9.210426381905731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2E-413F-B501-D91BB5DC69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Data!$L$51:$M$51</c:f>
              <c:strCache>
                <c:ptCount val="2"/>
                <c:pt idx="0">
                  <c:v>Oil Activities</c:v>
                </c:pt>
                <c:pt idx="1">
                  <c:v>Non-Oil Activities</c:v>
                </c:pt>
              </c:strCache>
            </c:strRef>
          </c:cat>
          <c:val>
            <c:numRef>
              <c:f>Data!$L$52:$M$52</c:f>
              <c:numCache>
                <c:formatCode>#,##0</c:formatCode>
                <c:ptCount val="2"/>
                <c:pt idx="0">
                  <c:v>284060</c:v>
                </c:pt>
                <c:pt idx="1">
                  <c:v>490817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E-413F-B501-D91BB5DC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9430718807997578E-2"/>
          <c:y val="1.9291236917655278E-2"/>
          <c:w val="0.82113803588116829"/>
          <c:h val="0.13947032643203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Data!$Z$5:$Z$19</c15:sqref>
                  </c15:fullRef>
                </c:ext>
              </c:extLst>
              <c:f>(Data!$Z$5:$Z$8,Data!$Z$10:$Z$15,Data!$Z$17:$Z$19)</c:f>
              <c:strCache>
                <c:ptCount val="13"/>
                <c:pt idx="0">
                  <c:v>Other Mining &amp; Quarrying</c:v>
                </c:pt>
                <c:pt idx="1">
                  <c:v>Energy</c:v>
                </c:pt>
                <c:pt idx="2">
                  <c:v>Agriculture</c:v>
                </c:pt>
                <c:pt idx="3">
                  <c:v>Community, Social &amp; Personal Services</c:v>
                </c:pt>
                <c:pt idx="4">
                  <c:v>Construction</c:v>
                </c:pt>
                <c:pt idx="5">
                  <c:v>Finance , Insurance and Business services</c:v>
                </c:pt>
                <c:pt idx="6">
                  <c:v>Real Estate</c:v>
                </c:pt>
                <c:pt idx="7">
                  <c:v>Petroleum Refining</c:v>
                </c:pt>
                <c:pt idx="8">
                  <c:v>Trade</c:v>
                </c:pt>
                <c:pt idx="9">
                  <c:v>Finance, Insurance, Real Estate &amp; Business Services</c:v>
                </c:pt>
                <c:pt idx="10">
                  <c:v>Manufacturing</c:v>
                </c:pt>
                <c:pt idx="11">
                  <c:v>Crude Petroleum &amp; Natural Gas</c:v>
                </c:pt>
                <c:pt idx="12">
                  <c:v>Mining &amp; Quarrying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Data!$AA$5:$AA$19</c15:sqref>
                  </c15:fullRef>
                </c:ext>
              </c:extLst>
              <c:f>(Data!$AA$5:$AA$8,Data!$AA$10:$AA$15,Data!$AA$17:$AA$19)</c:f>
              <c:numCache>
                <c:formatCode>#,##0</c:formatCode>
                <c:ptCount val="13"/>
                <c:pt idx="0">
                  <c:v>4228</c:v>
                </c:pt>
                <c:pt idx="1">
                  <c:v>15595</c:v>
                </c:pt>
                <c:pt idx="2">
                  <c:v>26563</c:v>
                </c:pt>
                <c:pt idx="3">
                  <c:v>31705</c:v>
                </c:pt>
                <c:pt idx="4">
                  <c:v>51825</c:v>
                </c:pt>
                <c:pt idx="5">
                  <c:v>52717</c:v>
                </c:pt>
                <c:pt idx="6">
                  <c:v>56531</c:v>
                </c:pt>
                <c:pt idx="7">
                  <c:v>57893</c:v>
                </c:pt>
                <c:pt idx="8">
                  <c:v>101440</c:v>
                </c:pt>
                <c:pt idx="9">
                  <c:v>109332</c:v>
                </c:pt>
                <c:pt idx="10">
                  <c:v>162927</c:v>
                </c:pt>
                <c:pt idx="11">
                  <c:v>227047</c:v>
                </c:pt>
                <c:pt idx="12">
                  <c:v>231540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398-8456-DEFDCCB2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overlap val="-28"/>
        <c:axId val="524218576"/>
        <c:axId val="524211856"/>
      </c:barChart>
      <c:catAx>
        <c:axId val="52421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11856"/>
        <c:crosses val="autoZero"/>
        <c:auto val="0"/>
        <c:lblAlgn val="l"/>
        <c:lblOffset val="100"/>
        <c:noMultiLvlLbl val="0"/>
      </c:catAx>
      <c:valAx>
        <c:axId val="524211856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21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264759308540687"/>
          <c:y val="4.6845179317093914E-2"/>
          <c:w val="0.4605360473431746"/>
          <c:h val="0.9168109498780050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79-B94C-9144-D8D416C11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79-B94C-9144-D8D416C119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0F-45AC-8E66-C809430C73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0F-45AC-8E66-C809430C73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0F-45AC-8E66-C809430C73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79-B94C-9144-D8D416C119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E79-B94C-9144-D8D416C119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E79-B94C-9144-D8D416C11950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9E0F-45AC-8E66-C809430C734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E0F-45AC-8E66-C809430C734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0F-45AC-8E66-C809430C73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Data!$O$143:$O$151</c15:sqref>
                  </c15:fullRef>
                </c:ext>
              </c:extLst>
              <c:f>Data!$O$144:$O$151</c:f>
              <c:strCache>
                <c:ptCount val="8"/>
                <c:pt idx="0">
                  <c:v>Compensation</c:v>
                </c:pt>
                <c:pt idx="1">
                  <c:v>Goods/Services</c:v>
                </c:pt>
                <c:pt idx="2">
                  <c:v>Financing</c:v>
                </c:pt>
                <c:pt idx="3">
                  <c:v>Subsidies</c:v>
                </c:pt>
                <c:pt idx="4">
                  <c:v>Grants</c:v>
                </c:pt>
                <c:pt idx="5">
                  <c:v>Social Benefits</c:v>
                </c:pt>
                <c:pt idx="6">
                  <c:v>Other Expenses</c:v>
                </c:pt>
                <c:pt idx="7">
                  <c:v>CAPEX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Data!$P$143:$P$151</c15:sqref>
                  </c15:fullRef>
                </c:ext>
              </c:extLst>
              <c:f>Data!$P$144:$P$151</c:f>
              <c:numCache>
                <c:formatCode>#,##0</c:formatCode>
                <c:ptCount val="8"/>
                <c:pt idx="0">
                  <c:v>130500</c:v>
                </c:pt>
                <c:pt idx="1">
                  <c:v>34200</c:v>
                </c:pt>
                <c:pt idx="2">
                  <c:v>5200</c:v>
                </c:pt>
                <c:pt idx="3">
                  <c:v>7100</c:v>
                </c:pt>
                <c:pt idx="4">
                  <c:v>850</c:v>
                </c:pt>
                <c:pt idx="5">
                  <c:v>22400</c:v>
                </c:pt>
                <c:pt idx="6">
                  <c:v>19850</c:v>
                </c:pt>
                <c:pt idx="7">
                  <c:v>32600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9E0F-45AC-8E66-C809430C7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25400">
          <a:noFill/>
        </a:ln>
        <a:effectLst/>
      </c:spPr>
    </c:plotArea>
    <c:legend>
      <c:legendPos val="l"/>
      <c:layout>
        <c:manualLayout>
          <c:xMode val="edge"/>
          <c:yMode val="edge"/>
          <c:x val="4.7051657904067228E-2"/>
          <c:y val="2.4825440908514955E-2"/>
          <c:w val="0.24454710185868869"/>
          <c:h val="0.95034837719138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272960</xdr:colOff>
      <xdr:row>7</xdr:row>
      <xdr:rowOff>49802</xdr:rowOff>
    </xdr:from>
    <xdr:to>
      <xdr:col>11</xdr:col>
      <xdr:colOff>188596</xdr:colOff>
      <xdr:row>10</xdr:row>
      <xdr:rowOff>49258</xdr:rowOff>
    </xdr:to>
    <xdr:sp macro="" textlink="">
      <xdr:nvSpPr>
        <xdr:cNvPr id="33" name="Rectangle: Rounded Corners 13">
          <a:extLst>
            <a:ext uri="{FF2B5EF4-FFF2-40B4-BE49-F238E27FC236}">
              <a16:creationId xmlns:a16="http://schemas.microsoft.com/office/drawing/2014/main" id="{C577985C-7AFA-4EAE-8EA7-949061192BE1}"/>
            </a:ext>
          </a:extLst>
        </xdr:cNvPr>
        <xdr:cNvSpPr/>
      </xdr:nvSpPr>
      <xdr:spPr>
        <a:xfrm>
          <a:off x="5637440" y="1573802"/>
          <a:ext cx="1051016" cy="525236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225333</xdr:colOff>
      <xdr:row>7</xdr:row>
      <xdr:rowOff>51707</xdr:rowOff>
    </xdr:from>
    <xdr:to>
      <xdr:col>13</xdr:col>
      <xdr:colOff>160019</xdr:colOff>
      <xdr:row>10</xdr:row>
      <xdr:rowOff>51163</xdr:rowOff>
    </xdr:to>
    <xdr:sp macro="" textlink="">
      <xdr:nvSpPr>
        <xdr:cNvPr id="34" name="Rectangle: Rounded Corners 14">
          <a:extLst>
            <a:ext uri="{FF2B5EF4-FFF2-40B4-BE49-F238E27FC236}">
              <a16:creationId xmlns:a16="http://schemas.microsoft.com/office/drawing/2014/main" id="{18E73517-5CFC-4A91-BDD5-62A8BF9D72BF}"/>
            </a:ext>
          </a:extLst>
        </xdr:cNvPr>
        <xdr:cNvSpPr/>
      </xdr:nvSpPr>
      <xdr:spPr>
        <a:xfrm>
          <a:off x="6725193" y="1575707"/>
          <a:ext cx="1031966" cy="525236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257448</xdr:colOff>
      <xdr:row>7</xdr:row>
      <xdr:rowOff>53068</xdr:rowOff>
    </xdr:from>
    <xdr:to>
      <xdr:col>9</xdr:col>
      <xdr:colOff>211456</xdr:colOff>
      <xdr:row>10</xdr:row>
      <xdr:rowOff>50619</xdr:rowOff>
    </xdr:to>
    <xdr:sp macro="" textlink="">
      <xdr:nvSpPr>
        <xdr:cNvPr id="29" name="Rectangle: Rounded Corners 12">
          <a:extLst>
            <a:ext uri="{FF2B5EF4-FFF2-40B4-BE49-F238E27FC236}">
              <a16:creationId xmlns:a16="http://schemas.microsoft.com/office/drawing/2014/main" id="{E734C0A6-7F1D-4512-A003-ACF7338CF836}"/>
            </a:ext>
          </a:extLst>
        </xdr:cNvPr>
        <xdr:cNvSpPr/>
      </xdr:nvSpPr>
      <xdr:spPr>
        <a:xfrm>
          <a:off x="4417968" y="1577068"/>
          <a:ext cx="1157968" cy="523331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206284</xdr:colOff>
      <xdr:row>7</xdr:row>
      <xdr:rowOff>45992</xdr:rowOff>
    </xdr:from>
    <xdr:to>
      <xdr:col>7</xdr:col>
      <xdr:colOff>205740</xdr:colOff>
      <xdr:row>10</xdr:row>
      <xdr:rowOff>47353</xdr:rowOff>
    </xdr:to>
    <xdr:sp macro="" textlink="">
      <xdr:nvSpPr>
        <xdr:cNvPr id="20" name="Rectangle: Rounded Corners 11">
          <a:extLst>
            <a:ext uri="{FF2B5EF4-FFF2-40B4-BE49-F238E27FC236}">
              <a16:creationId xmlns:a16="http://schemas.microsoft.com/office/drawing/2014/main" id="{7B0E2E5E-36DF-442D-B266-635F55F6A5FF}"/>
            </a:ext>
          </a:extLst>
        </xdr:cNvPr>
        <xdr:cNvSpPr/>
      </xdr:nvSpPr>
      <xdr:spPr>
        <a:xfrm>
          <a:off x="3231424" y="1569992"/>
          <a:ext cx="1134836" cy="527141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400"/>
        </a:p>
      </xdr:txBody>
    </xdr:sp>
    <xdr:clientData/>
  </xdr:twoCellAnchor>
  <xdr:twoCellAnchor>
    <xdr:from>
      <xdr:col>1</xdr:col>
      <xdr:colOff>234587</xdr:colOff>
      <xdr:row>7</xdr:row>
      <xdr:rowOff>37828</xdr:rowOff>
    </xdr:from>
    <xdr:to>
      <xdr:col>3</xdr:col>
      <xdr:colOff>161108</xdr:colOff>
      <xdr:row>10</xdr:row>
      <xdr:rowOff>41094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D4E372F-0285-F599-943B-0EBCE34ED6E9}"/>
            </a:ext>
          </a:extLst>
        </xdr:cNvPr>
        <xdr:cNvSpPr/>
      </xdr:nvSpPr>
      <xdr:spPr>
        <a:xfrm>
          <a:off x="844187" y="1561828"/>
          <a:ext cx="1138101" cy="529046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335633</xdr:colOff>
      <xdr:row>9</xdr:row>
      <xdr:rowOff>118442</xdr:rowOff>
    </xdr:from>
    <xdr:to>
      <xdr:col>1</xdr:col>
      <xdr:colOff>420732</xdr:colOff>
      <xdr:row>9</xdr:row>
      <xdr:rowOff>194609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80799D-46FB-EC24-7F13-96EFBF3E9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5233" y="1928192"/>
          <a:ext cx="85099" cy="76167"/>
        </a:xfrm>
        <a:prstGeom prst="rect">
          <a:avLst/>
        </a:prstGeom>
      </xdr:spPr>
    </xdr:pic>
    <xdr:clientData/>
  </xdr:twoCellAnchor>
  <xdr:twoCellAnchor editAs="oneCell">
    <xdr:from>
      <xdr:col>3</xdr:col>
      <xdr:colOff>298350</xdr:colOff>
      <xdr:row>9</xdr:row>
      <xdr:rowOff>114087</xdr:rowOff>
    </xdr:from>
    <xdr:to>
      <xdr:col>3</xdr:col>
      <xdr:colOff>382905</xdr:colOff>
      <xdr:row>9</xdr:row>
      <xdr:rowOff>190254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D7BB3485-328C-4F74-9A07-F746B7E4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9530" y="1927647"/>
          <a:ext cx="84555" cy="76167"/>
        </a:xfrm>
        <a:prstGeom prst="rect">
          <a:avLst/>
        </a:prstGeom>
      </xdr:spPr>
    </xdr:pic>
    <xdr:clientData/>
  </xdr:twoCellAnchor>
  <xdr:twoCellAnchor editAs="oneCell">
    <xdr:from>
      <xdr:col>5</xdr:col>
      <xdr:colOff>342165</xdr:colOff>
      <xdr:row>9</xdr:row>
      <xdr:rowOff>115992</xdr:rowOff>
    </xdr:from>
    <xdr:to>
      <xdr:col>6</xdr:col>
      <xdr:colOff>81180</xdr:colOff>
      <xdr:row>9</xdr:row>
      <xdr:rowOff>207432</xdr:rowOff>
    </xdr:to>
    <xdr:pic>
      <xdr:nvPicPr>
        <xdr:cNvPr id="28" name="Graphic 4">
          <a:extLst>
            <a:ext uri="{FF2B5EF4-FFF2-40B4-BE49-F238E27FC236}">
              <a16:creationId xmlns:a16="http://schemas.microsoft.com/office/drawing/2014/main" id="{D8A5579E-D322-43BB-96CC-D1FBCDADA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88565" y="1195492"/>
          <a:ext cx="91440" cy="914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393600</xdr:colOff>
      <xdr:row>9</xdr:row>
      <xdr:rowOff>115992</xdr:rowOff>
    </xdr:from>
    <xdr:to>
      <xdr:col>8</xdr:col>
      <xdr:colOff>65940</xdr:colOff>
      <xdr:row>9</xdr:row>
      <xdr:rowOff>207432</xdr:rowOff>
    </xdr:to>
    <xdr:pic>
      <xdr:nvPicPr>
        <xdr:cNvPr id="32" name="Graphic 5">
          <a:extLst>
            <a:ext uri="{FF2B5EF4-FFF2-40B4-BE49-F238E27FC236}">
              <a16:creationId xmlns:a16="http://schemas.microsoft.com/office/drawing/2014/main" id="{4533C993-36C2-4358-885F-DACCEDD05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35400" y="1195492"/>
          <a:ext cx="91440" cy="91440"/>
        </a:xfrm>
        <a:prstGeom prst="rect">
          <a:avLst/>
        </a:prstGeom>
      </xdr:spPr>
    </xdr:pic>
    <xdr:clientData/>
  </xdr:twoCellAnchor>
  <xdr:twoCellAnchor editAs="oneCell">
    <xdr:from>
      <xdr:col>9</xdr:col>
      <xdr:colOff>373915</xdr:colOff>
      <xdr:row>9</xdr:row>
      <xdr:rowOff>98847</xdr:rowOff>
    </xdr:from>
    <xdr:to>
      <xdr:col>10</xdr:col>
      <xdr:colOff>93880</xdr:colOff>
      <xdr:row>9</xdr:row>
      <xdr:rowOff>190287</xdr:rowOff>
    </xdr:to>
    <xdr:pic>
      <xdr:nvPicPr>
        <xdr:cNvPr id="39" name="Graphic 6">
          <a:extLst>
            <a:ext uri="{FF2B5EF4-FFF2-40B4-BE49-F238E27FC236}">
              <a16:creationId xmlns:a16="http://schemas.microsoft.com/office/drawing/2014/main" id="{ED607EAC-69FC-40AF-B7FE-AA2B5EE5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87315" y="1178347"/>
          <a:ext cx="91440" cy="9144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285015</xdr:colOff>
      <xdr:row>9</xdr:row>
      <xdr:rowOff>119802</xdr:rowOff>
    </xdr:from>
    <xdr:to>
      <xdr:col>12</xdr:col>
      <xdr:colOff>62130</xdr:colOff>
      <xdr:row>9</xdr:row>
      <xdr:rowOff>211242</xdr:rowOff>
    </xdr:to>
    <xdr:pic>
      <xdr:nvPicPr>
        <xdr:cNvPr id="41" name="Graphic 7">
          <a:extLst>
            <a:ext uri="{FF2B5EF4-FFF2-40B4-BE49-F238E27FC236}">
              <a16:creationId xmlns:a16="http://schemas.microsoft.com/office/drawing/2014/main" id="{FB6CA4BF-3EB8-470B-8D26-27532E5AD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93815" y="1199302"/>
          <a:ext cx="91440" cy="91440"/>
        </a:xfrm>
        <a:prstGeom prst="rect">
          <a:avLst/>
        </a:prstGeom>
      </xdr:spPr>
    </xdr:pic>
    <xdr:clientData/>
  </xdr:twoCellAnchor>
  <xdr:twoCellAnchor editAs="oneCell">
    <xdr:from>
      <xdr:col>13</xdr:col>
      <xdr:colOff>277395</xdr:colOff>
      <xdr:row>9</xdr:row>
      <xdr:rowOff>125517</xdr:rowOff>
    </xdr:from>
    <xdr:to>
      <xdr:col>14</xdr:col>
      <xdr:colOff>72390</xdr:colOff>
      <xdr:row>9</xdr:row>
      <xdr:rowOff>194064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07AAC66-44D1-4513-9B79-BF630D690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29755" y="1939077"/>
          <a:ext cx="90270" cy="76167"/>
        </a:xfrm>
        <a:prstGeom prst="rect">
          <a:avLst/>
        </a:prstGeom>
      </xdr:spPr>
    </xdr:pic>
    <xdr:clientData/>
  </xdr:twoCellAnchor>
  <xdr:twoCellAnchor>
    <xdr:from>
      <xdr:col>3</xdr:col>
      <xdr:colOff>225334</xdr:colOff>
      <xdr:row>7</xdr:row>
      <xdr:rowOff>45992</xdr:rowOff>
    </xdr:from>
    <xdr:to>
      <xdr:col>5</xdr:col>
      <xdr:colOff>156210</xdr:colOff>
      <xdr:row>10</xdr:row>
      <xdr:rowOff>47353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777E2C2-569D-461B-B2AE-4F6565B52C3D}"/>
            </a:ext>
          </a:extLst>
        </xdr:cNvPr>
        <xdr:cNvSpPr/>
      </xdr:nvSpPr>
      <xdr:spPr>
        <a:xfrm>
          <a:off x="2046514" y="1569992"/>
          <a:ext cx="1134836" cy="527141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213903</xdr:colOff>
      <xdr:row>7</xdr:row>
      <xdr:rowOff>51707</xdr:rowOff>
    </xdr:from>
    <xdr:to>
      <xdr:col>15</xdr:col>
      <xdr:colOff>144779</xdr:colOff>
      <xdr:row>10</xdr:row>
      <xdr:rowOff>51163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C218182-0843-4D6F-A6F6-4677AF596CAA}"/>
            </a:ext>
          </a:extLst>
        </xdr:cNvPr>
        <xdr:cNvSpPr/>
      </xdr:nvSpPr>
      <xdr:spPr>
        <a:xfrm>
          <a:off x="7811043" y="1575707"/>
          <a:ext cx="1028156" cy="525236"/>
        </a:xfrm>
        <a:prstGeom prst="roundRect">
          <a:avLst/>
        </a:prstGeom>
        <a:solidFill>
          <a:schemeClr val="tx2">
            <a:lumMod val="50000"/>
            <a:lumOff val="50000"/>
            <a:alpha val="28000"/>
          </a:schemeClr>
        </a:solidFill>
        <a:ln w="127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234361</xdr:colOff>
      <xdr:row>11</xdr:row>
      <xdr:rowOff>31461</xdr:rowOff>
    </xdr:from>
    <xdr:to>
      <xdr:col>8</xdr:col>
      <xdr:colOff>1718</xdr:colOff>
      <xdr:row>23</xdr:row>
      <xdr:rowOff>92556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DC7FC38-89EE-2CE7-1994-79EB3F0A5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223558</xdr:colOff>
      <xdr:row>24</xdr:row>
      <xdr:rowOff>123997</xdr:rowOff>
    </xdr:from>
    <xdr:to>
      <xdr:col>4</xdr:col>
      <xdr:colOff>494108</xdr:colOff>
      <xdr:row>34</xdr:row>
      <xdr:rowOff>11907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FE087BE-B8E0-624E-ED9C-F33FA88F1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123825</xdr:colOff>
      <xdr:row>11</xdr:row>
      <xdr:rowOff>33336</xdr:rowOff>
    </xdr:from>
    <xdr:to>
      <xdr:col>15</xdr:col>
      <xdr:colOff>96022</xdr:colOff>
      <xdr:row>23</xdr:row>
      <xdr:rowOff>83344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634F6-345B-2473-17EF-EA300F14F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619126</xdr:colOff>
      <xdr:row>24</xdr:row>
      <xdr:rowOff>110133</xdr:rowOff>
    </xdr:from>
    <xdr:to>
      <xdr:col>9</xdr:col>
      <xdr:colOff>203488</xdr:colOff>
      <xdr:row>34</xdr:row>
      <xdr:rowOff>24741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25BED9C-F5F1-B882-8017-60E6C5AA7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0.0722</cdr:x>
      <cdr:y>0.14015</cdr:y>
    </cdr:from>
    <cdr:to>
      <cdr:x>0.07954</cdr:x>
      <cdr:y>0.1554</cdr:y>
    </cdr:to>
    <cdr:pic>
      <cdr:nvPicPr>
        <cdr:cNvPr id="2" name="Graphic 2">
          <a:extLst xmlns:a="http://schemas.openxmlformats.org/drawingml/2006/main">
            <a:ext uri="{FF2B5EF4-FFF2-40B4-BE49-F238E27FC236}">
              <a16:creationId xmlns:a16="http://schemas.microsoft.com/office/drawing/2014/main" id="{2C80799D-46FB-EC24-7F13-96EFBF3E957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70144" y="252734"/>
          <a:ext cx="27463" cy="2750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</cdr:x>
      <cdr:y>0.10816</cdr:y>
    </cdr:from>
    <cdr:to>
      <cdr:x>0.09378</cdr:x>
      <cdr:y>0.17179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F9079D4-C72F-7CD2-9C43-1DBC65BE4A92}"/>
            </a:ext>
          </a:extLst>
        </cdr:cNvPr>
        <cdr:cNvSpPr txBox="1"/>
      </cdr:nvSpPr>
      <cdr:spPr>
        <a:xfrm xmlns:a="http://schemas.openxmlformats.org/drawingml/2006/main">
          <a:off x="0" y="195041"/>
          <a:ext cx="350861" cy="114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300" kern="1200">
              <a:solidFill>
                <a:srgbClr val="002060"/>
              </a:solidFill>
            </a:rPr>
            <a:t>Thousnads</a:t>
          </a:r>
        </a:p>
      </cdr:txBody>
    </cdr:sp>
  </cdr:relSizeAnchor>
  <cdr:relSizeAnchor xmlns:cdr="http://schemas.openxmlformats.org/drawingml/2006/chartDrawing">
    <cdr:from>
      <cdr:x>0.97843</cdr:x>
      <cdr:y>0.15756</cdr:y>
    </cdr:from>
    <cdr:to>
      <cdr:x>0.98577</cdr:x>
      <cdr:y>0.17281</cdr:y>
    </cdr:to>
    <cdr:pic>
      <cdr:nvPicPr>
        <cdr:cNvPr id="4" name="Graphic 2">
          <a:extLst xmlns:a="http://schemas.openxmlformats.org/drawingml/2006/main">
            <a:ext uri="{FF2B5EF4-FFF2-40B4-BE49-F238E27FC236}">
              <a16:creationId xmlns:a16="http://schemas.microsoft.com/office/drawing/2014/main" id="{AB73EBA2-5159-5DA8-9C33-BCA0FE085BC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58614" y="283659"/>
          <a:ext cx="27445" cy="2746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0.90622</cdr:x>
      <cdr:y>0.12556</cdr:y>
    </cdr:from>
    <cdr:to>
      <cdr:x>1</cdr:x>
      <cdr:y>0.1892</cdr:y>
    </cdr:to>
    <cdr:sp macro="" textlink="">
      <cdr:nvSpPr>
        <cdr:cNvPr id="5" name="TextBox 2">
          <a:extLst xmlns:a="http://schemas.openxmlformats.org/drawingml/2006/main">
            <a:ext uri="{FF2B5EF4-FFF2-40B4-BE49-F238E27FC236}">
              <a16:creationId xmlns:a16="http://schemas.microsoft.com/office/drawing/2014/main" id="{72467DBE-E2E9-F3BD-9E60-91FA2ABE0571}"/>
            </a:ext>
          </a:extLst>
        </cdr:cNvPr>
        <cdr:cNvSpPr txBox="1"/>
      </cdr:nvSpPr>
      <cdr:spPr>
        <a:xfrm xmlns:a="http://schemas.openxmlformats.org/drawingml/2006/main">
          <a:off x="3388629" y="226060"/>
          <a:ext cx="350653" cy="1145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300" kern="1200">
              <a:solidFill>
                <a:srgbClr val="002060"/>
              </a:solidFill>
            </a:rPr>
            <a:t>Thousnads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7AC736F-2066-43FE-880D-517E39D8F586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8" dataBound="0" tableColumnId="8"/>
      <queryTableField id="2" name="Oil Activities" tableColumnId="2"/>
      <queryTableField id="3" name="Non-Oil Activities" tableColumnId="3"/>
      <queryTableField id="4" name="Government Activities" tableColumnId="4"/>
      <queryTableField id="5" name="Gross Value Added " tableColumnId="5"/>
      <queryTableField id="6" name=" Net Taxes on Products" tableColumnId="6"/>
      <queryTableField id="7" name="Gross Domestic Produc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96DEA14-9E2F-4AE3-BF99-4E26F9B3D592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Exports" tableColumnId="2"/>
      <queryTableField id="3" name="Impor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303026F-8A35-4FBC-807D-17800DF4A65D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11" dataBound="0" tableColumnId="11"/>
      <queryTableField id="2" name="Total Revenue" tableColumnId="2"/>
      <queryTableField id="3" name="Oil Revenue" tableColumnId="3"/>
      <queryTableField id="4" name="Non Oil Revenues" tableColumnId="4"/>
      <queryTableField id="5" name="Taxes Revenues" tableColumnId="5"/>
      <queryTableField id="6" name="Income Taxes" tableColumnId="6"/>
      <queryTableField id="7" name="VAT" tableColumnId="7"/>
      <queryTableField id="8" name="INT Taxes" tableColumnId="8"/>
      <queryTableField id="9" name="Other Taxes" tableColumnId="9"/>
      <queryTableField id="10" name="Other Revenue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78E0641-AD75-47E1-A7EF-656B5CB6036B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11" dataBound="0" tableColumnId="11"/>
      <queryTableField id="2" name="Total Exp" tableColumnId="2"/>
      <queryTableField id="3" name="Compensation" tableColumnId="3"/>
      <queryTableField id="4" name="Goods/Services" tableColumnId="4"/>
      <queryTableField id="5" name="Financing" tableColumnId="5"/>
      <queryTableField id="6" name="Subsidies" tableColumnId="6"/>
      <queryTableField id="7" name="Grants" tableColumnId="7"/>
      <queryTableField id="8" name="Social Benefits" tableColumnId="8"/>
      <queryTableField id="9" name="Other Expenses" tableColumnId="9"/>
      <queryTableField id="10" name="CAPEX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79C02D1-0BB3-462B-8656-5A4B7FC8F73D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3" dataBound="0" tableColumnId="3"/>
      <queryTableField id="2" name="PMI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83A6339-D631-4CAF-A6B6-B47443D69747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3" dataBound="0" tableColumnId="3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4A899D-78EA-4ABE-8F80-7F6A79B74AE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4" dataBound="0" tableColumnId="4"/>
      <queryTableField id="2" name="Production" tableColumnId="2"/>
      <queryTableField id="3" name="Pric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6D029D7-5D03-4680-832E-81368A033E46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3" dataBound="0" tableColumnId="3"/>
      <queryTableField id="2" name="M3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F8732BA-1587-4A3A-A4AD-3E56903E46B7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6" dataBound="0" tableColumnId="6"/>
      <queryTableField id="2" name="Exports" tableColumnId="2"/>
      <queryTableField id="3" name="Imports" tableColumnId="3"/>
      <queryTableField id="4" name="Trade Volume" tableColumnId="4"/>
      <queryTableField id="5" name="Trade Balanc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F8CBB3-D2FB-4247-8D52-5265760F6537}" autoFormatId="16" applyNumberFormats="0" applyBorderFormats="0" applyFontFormats="0" applyPatternFormats="0" applyAlignmentFormats="0" applyWidthHeightFormats="0">
  <queryTableRefresh nextId="4">
    <queryTableFields count="3">
      <queryTableField id="1" name="Date;" tableColumnId="1"/>
      <queryTableField id="3" dataBound="0" tableColumnId="3"/>
      <queryTableField id="2" name="OBS_VALUE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C63CCA-EADA-4E9F-8B81-7E1DB83E658D}" autoFormatId="16" applyNumberFormats="0" applyBorderFormats="0" applyFontFormats="0" applyPatternFormats="0" applyAlignmentFormats="0" applyWidthHeightFormats="0">
  <queryTableRefresh nextId="33">
    <queryTableFields count="18">
      <queryTableField id="1" name="Date" tableColumnId="1"/>
      <queryTableField id="21" dataBound="0" tableColumnId="21"/>
      <queryTableField id="25" name="Quarter" tableColumnId="25"/>
      <queryTableField id="26" name="Agriculture" tableColumnId="26"/>
      <queryTableField id="3" name="Mining &amp; Quarrying" tableColumnId="3"/>
      <queryTableField id="4" name="Crude Petroleum &amp; Natural Gas" tableColumnId="4"/>
      <queryTableField id="5" name="Other Mining &amp; Quarrying" tableColumnId="5"/>
      <queryTableField id="6" name="Manufacturing" tableColumnId="6"/>
      <queryTableField id="7" name="Petroleum Refining" tableColumnId="7"/>
      <queryTableField id="27" name="Energy" tableColumnId="27"/>
      <queryTableField id="10" name="Construction" tableColumnId="10"/>
      <queryTableField id="28" name="Trade" tableColumnId="28"/>
      <queryTableField id="12" name="Transport, Storage &amp; Communication" tableColumnId="12"/>
      <queryTableField id="13" name="Finance, Insurance, Real Estate &amp; Business Services" tableColumnId="13"/>
      <queryTableField id="14" name="Real Estate" tableColumnId="14"/>
      <queryTableField id="15" name="Finance , Insurance and Business services" tableColumnId="15"/>
      <queryTableField id="16" name="Community, Social &amp; Personal Services" tableColumnId="16"/>
      <queryTableField id="17" name="Government Activities" tableColumnId="17"/>
    </queryTableFields>
    <queryTableDeletedFields count="3">
      <deletedField name="Gross Value Added"/>
      <deletedField name="Net Taxes on Products"/>
      <deletedField name="Gross Domestic Product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3B4C26B-92F5-4A28-9FE5-3C89DFCF64AC}" autoFormatId="16" applyNumberFormats="0" applyBorderFormats="0" applyFontFormats="0" applyPatternFormats="0" applyAlignmentFormats="0" applyWidthHeightFormats="0">
  <queryTableRefresh nextId="2">
    <queryTableFields count="1">
      <queryTableField id="1" name="Valu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A921B-6DDF-49B3-842E-456FF9A0AF52}" name="GDP_By_Main_Economic_Activity" displayName="GDP_By_Main_Economic_Activity" ref="A1:H37" tableType="queryTable" totalsRowShown="0" headerRowDxfId="77" dataDxfId="76">
  <autoFilter ref="A1:H37" xr:uid="{695A921B-6DDF-49B3-842E-456FF9A0AF52}"/>
  <tableColumns count="8">
    <tableColumn id="1" xr3:uid="{5B2BCB0F-C053-47E6-B052-A3B39C8D1241}" uniqueName="1" name="Date" queryTableFieldId="1" dataDxfId="75"/>
    <tableColumn id="8" xr3:uid="{82D99A7A-5D82-4FC5-8A0D-52F2DAAE37D6}" uniqueName="8" name="Quarter" queryTableFieldId="8" dataDxfId="74"/>
    <tableColumn id="2" xr3:uid="{46FBA723-13C9-4CAC-B1F0-895F3B2F529A}" uniqueName="2" name="Oil Activities" queryTableFieldId="2" dataDxfId="73"/>
    <tableColumn id="3" xr3:uid="{9142B5FD-E32E-4943-B8C5-4D9078DA39C1}" uniqueName="3" name="Non-Oil Activities" queryTableFieldId="3" dataDxfId="72"/>
    <tableColumn id="4" xr3:uid="{5425DAF6-9985-4A60-A747-0812A1F7F7C1}" uniqueName="4" name="Government Activities" queryTableFieldId="4" dataDxfId="71"/>
    <tableColumn id="5" xr3:uid="{819DC8B5-BFA7-4FB0-AE7A-77FD1D887A43}" uniqueName="5" name="Gross Value Added " queryTableFieldId="5" dataDxfId="70"/>
    <tableColumn id="6" xr3:uid="{BD8C1865-EA01-48A6-A129-3E16D988E4B7}" uniqueName="6" name=" Net Taxes on Products" queryTableFieldId="6" dataDxfId="69"/>
    <tableColumn id="7" xr3:uid="{5276C2FD-02CF-47B3-90C4-8D454FBAC203}" uniqueName="7" name="Gross Domestic Product" queryTableFieldId="7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9670DB-D609-4B2D-B6F2-E253733F81D6}" name="balance_of_payments" displayName="balance_of_payments" ref="A1:C65" tableType="queryTable" totalsRowShown="0" headerRowDxfId="67" dataDxfId="66">
  <autoFilter ref="A1:C65" xr:uid="{3E9670DB-D609-4B2D-B6F2-E253733F81D6}"/>
  <tableColumns count="3">
    <tableColumn id="1" xr3:uid="{19D5D651-FA06-47DE-ADF6-6ABB767054B8}" uniqueName="1" name="Date" queryTableFieldId="1" dataDxfId="65"/>
    <tableColumn id="2" xr3:uid="{FCA363A9-B2F5-4653-8905-BC2CB379494E}" uniqueName="2" name="Exports" queryTableFieldId="2" dataDxfId="64"/>
    <tableColumn id="3" xr3:uid="{4A934B3C-BA5C-447C-BD1B-9D2DB763AAA3}" uniqueName="3" name="Imports" queryTableFieldId="3" dataDxfId="6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80036B-CC02-46A1-B41F-96C5A776F6E3}" name="Government_Revenues" displayName="Government_Revenues" ref="A1:K37" tableType="queryTable" totalsRowShown="0" headerRowDxfId="62" dataDxfId="61">
  <autoFilter ref="A1:K37" xr:uid="{5B80036B-CC02-46A1-B41F-96C5A776F6E3}"/>
  <tableColumns count="11">
    <tableColumn id="1" xr3:uid="{2D56A22F-1BC1-4C59-AD60-7550444E5394}" uniqueName="1" name="Date" queryTableFieldId="1" dataDxfId="60"/>
    <tableColumn id="11" xr3:uid="{1EFCEDE3-EBFA-4F94-A490-76B5AB726D62}" uniqueName="11" name="Quarter" queryTableFieldId="11" dataDxfId="59"/>
    <tableColumn id="2" xr3:uid="{92B80CF7-42BD-4B96-954E-CA64C4C0FE50}" uniqueName="2" name="Total Revenue" queryTableFieldId="2" dataDxfId="58"/>
    <tableColumn id="3" xr3:uid="{7076BEC2-E71D-4909-AFDA-84B26D8379FA}" uniqueName="3" name="Oil Revenue" queryTableFieldId="3" dataDxfId="57"/>
    <tableColumn id="4" xr3:uid="{13FB91B5-29E4-46F8-A747-D0F604420A67}" uniqueName="4" name="Non Oil Revenues" queryTableFieldId="4" dataDxfId="56"/>
    <tableColumn id="5" xr3:uid="{02E899FE-DA03-4967-AF62-D28DA39CE7DA}" uniqueName="5" name="Taxes Revenues" queryTableFieldId="5" dataDxfId="55"/>
    <tableColumn id="6" xr3:uid="{78B33866-79E5-4EBB-AC97-5FF05F39ECBA}" uniqueName="6" name="Income Taxes" queryTableFieldId="6" dataDxfId="54"/>
    <tableColumn id="7" xr3:uid="{E152F9A7-082D-4503-8298-27FDF807159B}" uniqueName="7" name="VAT" queryTableFieldId="7" dataDxfId="53"/>
    <tableColumn id="8" xr3:uid="{02104B1B-4B11-4CAF-BC3A-B0E970EDC67D}" uniqueName="8" name="INT Taxes" queryTableFieldId="8" dataDxfId="52"/>
    <tableColumn id="9" xr3:uid="{BF204EDA-2B03-4BCE-87E9-C43938F2E9B8}" uniqueName="9" name="Other Taxes" queryTableFieldId="9" dataDxfId="51"/>
    <tableColumn id="10" xr3:uid="{2CF2884B-C25F-428C-B375-2AC7CF484F3C}" uniqueName="10" name="Other Revenues" queryTableFieldId="10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D2625-DAF8-423B-9D03-D2BEF8E6652C}" name="Government_Expenditures" displayName="Government_Expenditures" ref="A1:K41" tableType="queryTable" totalsRowShown="0" headerRowDxfId="49" dataDxfId="48">
  <autoFilter ref="A1:K41" xr:uid="{52AD2625-DAF8-423B-9D03-D2BEF8E6652C}"/>
  <tableColumns count="11">
    <tableColumn id="1" xr3:uid="{97703B12-FBB2-44FE-AD22-DCFE01F71363}" uniqueName="1" name="Date" queryTableFieldId="1" dataDxfId="47"/>
    <tableColumn id="11" xr3:uid="{55481D94-B4A1-4E7B-AE56-ECBD4DCDE283}" uniqueName="11" name="Quarter" queryTableFieldId="11" dataDxfId="46"/>
    <tableColumn id="2" xr3:uid="{48CA221C-AC60-4BD6-BEEB-CA65D9740A76}" uniqueName="2" name="Total Exp" queryTableFieldId="2" dataDxfId="45"/>
    <tableColumn id="3" xr3:uid="{136AB1FF-A85C-48C9-A87C-A8AD03BE4C48}" uniqueName="3" name="Compensation" queryTableFieldId="3" dataDxfId="44"/>
    <tableColumn id="4" xr3:uid="{D44E5043-0250-49B2-9219-3F6470B80AA4}" uniqueName="4" name="Goods/Services" queryTableFieldId="4" dataDxfId="43"/>
    <tableColumn id="5" xr3:uid="{230F91D7-5905-46DB-8AC8-271BD09E8435}" uniqueName="5" name="Financing" queryTableFieldId="5" dataDxfId="42"/>
    <tableColumn id="6" xr3:uid="{341FD0B0-460C-465B-848A-DB5A5585FBB7}" uniqueName="6" name="Subsidies" queryTableFieldId="6" dataDxfId="41"/>
    <tableColumn id="7" xr3:uid="{307175E0-2AD4-442F-8F38-96FDE17FA279}" uniqueName="7" name="Grants" queryTableFieldId="7" dataDxfId="40"/>
    <tableColumn id="8" xr3:uid="{C7F57469-B9F4-4CBE-B7B9-3F44EFE0BB48}" uniqueName="8" name="Social Benefits" queryTableFieldId="8" dataDxfId="39"/>
    <tableColumn id="9" xr3:uid="{045D05D3-6EA9-4E12-B3EC-C7AFBA5C6945}" uniqueName="9" name="Other Expenses" queryTableFieldId="9" dataDxfId="38"/>
    <tableColumn id="10" xr3:uid="{6D2C7774-4FAD-42FA-A0AD-9F79B6DB75F1}" uniqueName="10" name="CAPEX" queryTableFieldId="10" dataDxfId="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A0005F-BDAC-4CAB-B8D1-2E8207EAD734}" name="PMI_Quarterly" displayName="PMI_Quarterly" ref="A1:C38" tableType="queryTable" totalsRowShown="0" headerRowDxfId="36" dataDxfId="35">
  <autoFilter ref="A1:C38" xr:uid="{7BA0005F-BDAC-4CAB-B8D1-2E8207EAD734}"/>
  <tableColumns count="3">
    <tableColumn id="1" xr3:uid="{F47562C0-A54F-43EC-A474-4A9BE875785D}" uniqueName="1" name="Date" queryTableFieldId="1" dataDxfId="34"/>
    <tableColumn id="3" xr3:uid="{9F207FFD-81ED-49A2-8443-7A5B74F6A9A8}" uniqueName="3" name="Quarter" queryTableFieldId="3" dataDxfId="33"/>
    <tableColumn id="2" xr3:uid="{1935437E-3CE8-4FFD-9568-AD9F1F5F527F}" uniqueName="2" name="PMI" queryTableFieldId="2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2B1088-2147-4AAA-AB5C-403844EDB04C}" name="POS_Quarterly" displayName="POS_Quarterly" ref="A1:C38" tableType="queryTable" totalsRowShown="0" headerRowDxfId="31" dataDxfId="30">
  <autoFilter ref="A1:C38" xr:uid="{962B1088-2147-4AAA-AB5C-403844EDB04C}"/>
  <tableColumns count="3">
    <tableColumn id="1" xr3:uid="{2A2AEB57-85E7-43F3-84BF-BE4278E335D8}" uniqueName="1" name="Date" queryTableFieldId="1" dataDxfId="29"/>
    <tableColumn id="3" xr3:uid="{D4F6A3A7-5582-4955-A5BC-206A2F212EDA}" uniqueName="3" name="Quarter" queryTableFieldId="3" dataDxfId="28"/>
    <tableColumn id="2" xr3:uid="{34CC553A-1F83-4801-B2E0-9FE2C9A8EBDC}" uniqueName="2" name="Value" queryTableFieldId="2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54E32B-EA5F-4832-B53E-8C9A44154E55}" name="Crude_Oil_Quarterly" displayName="Crude_Oil_Quarterly" ref="A1:D38" tableType="queryTable" totalsRowShown="0" headerRowDxfId="26" dataDxfId="25">
  <autoFilter ref="A1:D38" xr:uid="{3754E32B-EA5F-4832-B53E-8C9A44154E55}"/>
  <tableColumns count="4">
    <tableColumn id="1" xr3:uid="{A7CE28F4-7BAB-4CD0-874D-D0290CF1CD72}" uniqueName="1" name="Date" queryTableFieldId="1" dataDxfId="24"/>
    <tableColumn id="4" xr3:uid="{ECA85AFF-88DC-43FB-B7A3-1EF3FF56D20B}" uniqueName="4" name="Quarter" queryTableFieldId="4" dataDxfId="23"/>
    <tableColumn id="2" xr3:uid="{186560AA-146B-4840-8E33-5136224597BA}" uniqueName="2" name="Production" queryTableFieldId="2" dataDxfId="22"/>
    <tableColumn id="3" xr3:uid="{64C539D8-6B68-4997-8759-C50F9EB62568}" uniqueName="3" name="Price" queryTableFieldId="3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060CC9-77F3-4441-B0D8-E56AA56A1423}" name="M3_Quarterly" displayName="M3_Quarterly" ref="A1:C38" tableType="queryTable" totalsRowShown="0" headerRowDxfId="20" dataDxfId="19">
  <autoFilter ref="A1:C38" xr:uid="{74060CC9-77F3-4441-B0D8-E56AA56A1423}"/>
  <tableColumns count="3">
    <tableColumn id="1" xr3:uid="{8B1720B6-D8DB-4520-BCB2-D850F796B18E}" uniqueName="1" name="Date" queryTableFieldId="1" dataDxfId="18"/>
    <tableColumn id="3" xr3:uid="{BCFF5810-A31C-4A29-A5AE-44E21F1C6700}" uniqueName="3" name="Quarter" queryTableFieldId="3" dataDxfId="17"/>
    <tableColumn id="2" xr3:uid="{3EF5D4EB-8EC8-4CF4-A596-75A384546E82}" uniqueName="2" name="M3" queryTableFieldId="2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F1F41D-818E-44C6-AA51-C3FE0E7290BD}" name="International_Trade" displayName="International_Trade" ref="A1:F37" tableType="queryTable" totalsRowShown="0" headerRowDxfId="15" dataDxfId="14">
  <autoFilter ref="A1:F37" xr:uid="{4EF1F41D-818E-44C6-AA51-C3FE0E7290BD}"/>
  <tableColumns count="6">
    <tableColumn id="1" xr3:uid="{076B078F-7744-4EDB-AFEC-C45C82B073D4}" uniqueName="1" name="Date" queryTableFieldId="1" dataDxfId="13"/>
    <tableColumn id="6" xr3:uid="{1B59A735-C87E-437F-B252-231BD0C78284}" uniqueName="6" name="Quarter" queryTableFieldId="6" dataDxfId="12"/>
    <tableColumn id="2" xr3:uid="{057BB9E5-3872-42E6-8FF3-442C31EEB90D}" uniqueName="2" name="Exports" queryTableFieldId="2" dataDxfId="11"/>
    <tableColumn id="3" xr3:uid="{CF1FBF3F-9E16-4D04-A56A-443A63163A45}" uniqueName="3" name="Imports" queryTableFieldId="3" dataDxfId="10"/>
    <tableColumn id="4" xr3:uid="{1FE944C3-D528-43DE-9D41-C6B0A32556E5}" uniqueName="4" name="Trade Volume" queryTableFieldId="4" dataDxfId="9"/>
    <tableColumn id="5" xr3:uid="{51808C06-A2C1-440E-874C-2F58A0CE41BE}" uniqueName="5" name="Trade Balance" queryTableFieldId="5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807C12-E5A5-46C1-AB54-3B62915CD376}" name="Consumer_Price_Index" displayName="Consumer_Price_Index" ref="A1:C37" tableType="queryTable" totalsRowShown="0" headerRowDxfId="7" dataDxfId="6">
  <autoFilter ref="A1:C37" xr:uid="{31807C12-E5A5-46C1-AB54-3B62915CD376}"/>
  <tableColumns count="3">
    <tableColumn id="1" xr3:uid="{1153CAF6-167A-4E4A-A460-B218DF6681A6}" uniqueName="1" name="Date;" queryTableFieldId="1" dataDxfId="5"/>
    <tableColumn id="3" xr3:uid="{96627938-53BD-4872-90A2-1616114128BC}" uniqueName="3" name="Quarter" queryTableFieldId="3" dataDxfId="4"/>
    <tableColumn id="2" xr3:uid="{09C9CE6D-5A21-43EE-BAE8-4E0718945A7E}" uniqueName="2" name="OBS_VALUE" queryTableFieldId="2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1F4C69-8609-4839-BBFD-6A842BD38E9E}" name="GDP_By_Kind_of_Economic_Activities" displayName="GDP_By_Kind_of_Economic_Activities" ref="A1:R37" tableType="queryTable" totalsRowShown="0">
  <autoFilter ref="A1:R37" xr:uid="{4A1F4C69-8609-4839-BBFD-6A842BD38E9E}"/>
  <tableColumns count="18">
    <tableColumn id="1" xr3:uid="{ABC9D0C9-A529-40C1-B4E3-0FA3912F2913}" uniqueName="1" name="Date" queryTableFieldId="1" dataDxfId="2"/>
    <tableColumn id="21" xr3:uid="{9043581B-7B8D-462E-B327-E1AA8467CABD}" uniqueName="21" name="Quarter" queryTableFieldId="21" dataDxfId="1"/>
    <tableColumn id="25" xr3:uid="{D464A283-A0B4-4422-8205-96A62FCC09F0}" uniqueName="25" name="Quarter2" queryTableFieldId="25" dataDxfId="0"/>
    <tableColumn id="26" xr3:uid="{99A426BE-88AC-4D27-A771-933CCC16132F}" uniqueName="26" name="Agriculture" queryTableFieldId="26"/>
    <tableColumn id="3" xr3:uid="{DC265F80-1E21-468D-ABF5-B49194F1545B}" uniqueName="3" name="Mining &amp; Quarrying" queryTableFieldId="3"/>
    <tableColumn id="4" xr3:uid="{F5CE842F-3CFC-4475-9AC7-DCA77C335C52}" uniqueName="4" name="Crude Petroleum &amp; Natural Gas" queryTableFieldId="4"/>
    <tableColumn id="5" xr3:uid="{00324454-55A9-4703-B431-21BB90DB1B38}" uniqueName="5" name="Other Mining &amp; Quarrying" queryTableFieldId="5"/>
    <tableColumn id="6" xr3:uid="{506511D3-3ED2-4C5A-BE91-1DE3323F471B}" uniqueName="6" name="Manufacturing" queryTableFieldId="6"/>
    <tableColumn id="7" xr3:uid="{7C2B02C3-D22A-499E-9E36-4A3510AD7A33}" uniqueName="7" name="Petroleum Refining" queryTableFieldId="7"/>
    <tableColumn id="27" xr3:uid="{8310DED5-358A-4ADF-9EF8-981BE58A55A4}" uniqueName="27" name="Energy" queryTableFieldId="27"/>
    <tableColumn id="10" xr3:uid="{C61808B5-3112-4D15-A813-5A6DB69D2909}" uniqueName="10" name="Construction" queryTableFieldId="10"/>
    <tableColumn id="28" xr3:uid="{7945710E-03E8-4689-A067-88B82147D378}" uniqueName="28" name="Trade" queryTableFieldId="28"/>
    <tableColumn id="12" xr3:uid="{743F83BF-D4D1-45F3-90E4-8084F240CFBF}" uniqueName="12" name="Transport, Storage &amp; Communication" queryTableFieldId="12"/>
    <tableColumn id="13" xr3:uid="{CBEB4739-0C57-4DE4-8E33-B64D399FE042}" uniqueName="13" name="Finance, Insurance, Real Estate &amp; Business Services" queryTableFieldId="13"/>
    <tableColumn id="14" xr3:uid="{921008B2-F1C3-4610-93CF-BB8FADE8337D}" uniqueName="14" name="Real Estate" queryTableFieldId="14"/>
    <tableColumn id="15" xr3:uid="{28417284-497F-4DCB-9210-741B65DA456D}" uniqueName="15" name="Finance , Insurance and Business services" queryTableFieldId="15"/>
    <tableColumn id="16" xr3:uid="{C5AB4682-AA6D-4C4D-A3CB-D3BDA30FE530}" uniqueName="16" name="Community, Social &amp; Personal Services" queryTableFieldId="16"/>
    <tableColumn id="17" xr3:uid="{CF116F47-271B-4A4F-91E1-32498651B73E}" uniqueName="17" name="Government Activities" queryTableFieldId="1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376774-51ED-4597-BD13-CBEB32D8BEA7}" name="GrossDomesticProduct" displayName="GrossDomesticProduct" ref="A1:A57" tableType="queryTable" totalsRowShown="0">
  <autoFilter ref="A1:A57" xr:uid="{93376774-51ED-4597-BD13-CBEB32D8BEA7}"/>
  <tableColumns count="1">
    <tableColumn id="1" xr3:uid="{C9BACD40-A7AD-4600-94AF-210579D06C8B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B2F9C47-1992-4556-BC24-3BF9A4C67332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3603f163-309e-4d7c-88ee-bb9c114b328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8244FC-AEBA-4E8C-A52D-2C685A1E33FA}">
  <we:reference id="wa104380862" version="3.0.0.0" store="en-GB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23D2-D83D-4581-B833-8E8447A0AA0B}">
  <sheetPr codeName="Sheet1">
    <tabColor rgb="FF002060"/>
  </sheetPr>
  <dimension ref="A1:H37"/>
  <sheetViews>
    <sheetView workbookViewId="0">
      <selection activeCell="B2" sqref="B2:B37"/>
    </sheetView>
  </sheetViews>
  <sheetFormatPr defaultColWidth="9.109375" defaultRowHeight="14.4"/>
  <cols>
    <col min="1" max="1" width="10.44140625" style="4" bestFit="1" customWidth="1"/>
    <col min="2" max="2" width="12.44140625" style="4" bestFit="1" customWidth="1"/>
    <col min="3" max="3" width="17" style="2" bestFit="1" customWidth="1"/>
    <col min="4" max="4" width="21.5546875" style="2" bestFit="1" customWidth="1"/>
    <col min="5" max="5" width="26.109375" style="2" bestFit="1" customWidth="1"/>
    <col min="6" max="6" width="23.109375" style="2" bestFit="1" customWidth="1"/>
    <col min="7" max="7" width="26.44140625" style="2" bestFit="1" customWidth="1"/>
    <col min="8" max="8" width="27.88671875" style="2" bestFit="1" customWidth="1"/>
    <col min="9" max="16384" width="9.109375" style="3"/>
  </cols>
  <sheetData>
    <row r="1" spans="1:8">
      <c r="A1" s="19" t="s">
        <v>0</v>
      </c>
      <c r="B1" s="19" t="s">
        <v>57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</row>
    <row r="2" spans="1:8">
      <c r="A2" s="20">
        <v>42825</v>
      </c>
      <c r="B2" s="23" t="s">
        <v>58</v>
      </c>
      <c r="C2" s="21">
        <v>323387</v>
      </c>
      <c r="D2" s="21">
        <v>427664</v>
      </c>
      <c r="E2" s="21">
        <v>141861</v>
      </c>
      <c r="F2" s="21">
        <v>889235</v>
      </c>
      <c r="G2" s="21">
        <v>41728</v>
      </c>
      <c r="H2" s="21">
        <v>932702</v>
      </c>
    </row>
    <row r="3" spans="1:8">
      <c r="A3" s="20">
        <v>42916</v>
      </c>
      <c r="B3" s="23" t="s">
        <v>59</v>
      </c>
      <c r="C3" s="21">
        <v>327933</v>
      </c>
      <c r="D3" s="21">
        <v>429552</v>
      </c>
      <c r="E3" s="21">
        <v>129052</v>
      </c>
      <c r="F3" s="21">
        <v>878557</v>
      </c>
      <c r="G3" s="21">
        <v>46796</v>
      </c>
      <c r="H3" s="21">
        <v>922635</v>
      </c>
    </row>
    <row r="4" spans="1:8">
      <c r="A4" s="20">
        <v>43008</v>
      </c>
      <c r="B4" s="23" t="s">
        <v>60</v>
      </c>
      <c r="C4" s="21">
        <v>332904</v>
      </c>
      <c r="D4" s="21">
        <v>443768</v>
      </c>
      <c r="E4" s="21">
        <v>122371</v>
      </c>
      <c r="F4" s="21">
        <v>890649</v>
      </c>
      <c r="G4" s="21">
        <v>39464</v>
      </c>
      <c r="H4" s="21">
        <v>933711</v>
      </c>
    </row>
    <row r="5" spans="1:8">
      <c r="A5" s="20">
        <v>43100</v>
      </c>
      <c r="B5" s="23" t="s">
        <v>61</v>
      </c>
      <c r="C5" s="21">
        <v>329685</v>
      </c>
      <c r="D5" s="21">
        <v>447054</v>
      </c>
      <c r="E5" s="21">
        <v>160031</v>
      </c>
      <c r="F5" s="21">
        <v>938914</v>
      </c>
      <c r="G5" s="21">
        <v>45812</v>
      </c>
      <c r="H5" s="21">
        <v>985165</v>
      </c>
    </row>
    <row r="6" spans="1:8">
      <c r="A6" s="20">
        <v>43190</v>
      </c>
      <c r="B6" s="23" t="s">
        <v>62</v>
      </c>
      <c r="C6" s="21">
        <v>324708</v>
      </c>
      <c r="D6" s="21">
        <v>441322</v>
      </c>
      <c r="E6" s="21">
        <v>148584</v>
      </c>
      <c r="F6" s="21">
        <v>913445</v>
      </c>
      <c r="G6" s="21">
        <v>42822</v>
      </c>
      <c r="H6" s="21">
        <v>958113</v>
      </c>
    </row>
    <row r="7" spans="1:8">
      <c r="A7" s="20">
        <v>43281</v>
      </c>
      <c r="B7" s="23" t="s">
        <v>63</v>
      </c>
      <c r="C7" s="21">
        <v>331130</v>
      </c>
      <c r="D7" s="21">
        <v>446211</v>
      </c>
      <c r="E7" s="21">
        <v>139218</v>
      </c>
      <c r="F7" s="21">
        <v>912852</v>
      </c>
      <c r="G7" s="21">
        <v>46922</v>
      </c>
      <c r="H7" s="21">
        <v>958245</v>
      </c>
    </row>
    <row r="8" spans="1:8">
      <c r="A8" s="20">
        <v>43373</v>
      </c>
      <c r="B8" s="23" t="s">
        <v>64</v>
      </c>
      <c r="C8" s="21">
        <v>344068</v>
      </c>
      <c r="D8" s="21">
        <v>458359</v>
      </c>
      <c r="E8" s="21">
        <v>123729</v>
      </c>
      <c r="F8" s="21">
        <v>918207</v>
      </c>
      <c r="G8" s="21">
        <v>40861</v>
      </c>
      <c r="H8" s="21">
        <v>962710</v>
      </c>
    </row>
    <row r="9" spans="1:8">
      <c r="A9" s="20">
        <v>43465</v>
      </c>
      <c r="B9" s="23" t="s">
        <v>65</v>
      </c>
      <c r="C9" s="21">
        <v>351618</v>
      </c>
      <c r="D9" s="21">
        <v>458356</v>
      </c>
      <c r="E9" s="21">
        <v>163205</v>
      </c>
      <c r="F9" s="21">
        <v>969385</v>
      </c>
      <c r="G9" s="21">
        <v>46254</v>
      </c>
      <c r="H9" s="21">
        <v>1016937</v>
      </c>
    </row>
    <row r="10" spans="1:8">
      <c r="A10" s="20">
        <v>43555</v>
      </c>
      <c r="B10" s="23" t="s">
        <v>66</v>
      </c>
      <c r="C10" s="21">
        <v>327142</v>
      </c>
      <c r="D10" s="21">
        <v>461734</v>
      </c>
      <c r="E10" s="21">
        <v>150640</v>
      </c>
      <c r="F10" s="21">
        <v>937130</v>
      </c>
      <c r="G10" s="21">
        <v>48676</v>
      </c>
      <c r="H10" s="21">
        <v>985357</v>
      </c>
    </row>
    <row r="11" spans="1:8">
      <c r="A11" s="20">
        <v>43646</v>
      </c>
      <c r="B11" s="23" t="s">
        <v>67</v>
      </c>
      <c r="C11" s="21">
        <v>320037</v>
      </c>
      <c r="D11" s="21">
        <v>467902</v>
      </c>
      <c r="E11" s="21">
        <v>140746</v>
      </c>
      <c r="F11" s="21">
        <v>925793</v>
      </c>
      <c r="G11" s="21">
        <v>49877</v>
      </c>
      <c r="H11" s="21">
        <v>974442</v>
      </c>
    </row>
    <row r="12" spans="1:8">
      <c r="A12" s="20">
        <v>43738</v>
      </c>
      <c r="B12" s="23" t="s">
        <v>68</v>
      </c>
      <c r="C12" s="21">
        <v>320876</v>
      </c>
      <c r="D12" s="21">
        <v>481536</v>
      </c>
      <c r="E12" s="21">
        <v>129495</v>
      </c>
      <c r="F12" s="21">
        <v>927830</v>
      </c>
      <c r="G12" s="21">
        <v>49855</v>
      </c>
      <c r="H12" s="21">
        <v>976512</v>
      </c>
    </row>
    <row r="13" spans="1:8">
      <c r="A13" s="20">
        <v>43830</v>
      </c>
      <c r="B13" s="23" t="s">
        <v>69</v>
      </c>
      <c r="C13" s="21">
        <v>330154</v>
      </c>
      <c r="D13" s="21">
        <v>480815</v>
      </c>
      <c r="E13" s="21">
        <v>163790</v>
      </c>
      <c r="F13" s="21">
        <v>973887</v>
      </c>
      <c r="G13" s="21">
        <v>50645</v>
      </c>
      <c r="H13" s="21">
        <v>1024040</v>
      </c>
    </row>
    <row r="14" spans="1:8">
      <c r="A14" s="20">
        <v>43921</v>
      </c>
      <c r="B14" s="23" t="s">
        <v>70</v>
      </c>
      <c r="C14" s="21">
        <v>309888</v>
      </c>
      <c r="D14" s="21">
        <v>462782</v>
      </c>
      <c r="E14" s="21">
        <v>151274</v>
      </c>
      <c r="F14" s="21">
        <v>923962</v>
      </c>
      <c r="G14" s="21">
        <v>49058</v>
      </c>
      <c r="H14" s="21">
        <v>972107</v>
      </c>
    </row>
    <row r="15" spans="1:8">
      <c r="A15" s="20">
        <v>44012</v>
      </c>
      <c r="B15" s="23" t="s">
        <v>71</v>
      </c>
      <c r="C15" s="21">
        <v>302324</v>
      </c>
      <c r="D15" s="21">
        <v>423274</v>
      </c>
      <c r="E15" s="21">
        <v>137925</v>
      </c>
      <c r="F15" s="21">
        <v>860487</v>
      </c>
      <c r="G15" s="21">
        <v>41706</v>
      </c>
      <c r="H15" s="21">
        <v>903140</v>
      </c>
    </row>
    <row r="16" spans="1:8">
      <c r="A16" s="20">
        <v>44104</v>
      </c>
      <c r="B16" s="23" t="s">
        <v>72</v>
      </c>
      <c r="C16" s="21">
        <v>293491</v>
      </c>
      <c r="D16" s="21">
        <v>471268</v>
      </c>
      <c r="E16" s="21">
        <v>130398</v>
      </c>
      <c r="F16" s="21">
        <v>894908</v>
      </c>
      <c r="G16" s="21">
        <v>45619</v>
      </c>
      <c r="H16" s="21">
        <v>940499</v>
      </c>
    </row>
    <row r="17" spans="1:8">
      <c r="A17" s="20">
        <v>44196</v>
      </c>
      <c r="B17" s="23" t="s">
        <v>73</v>
      </c>
      <c r="C17" s="21">
        <v>303070</v>
      </c>
      <c r="D17" s="21">
        <v>477549</v>
      </c>
      <c r="E17" s="21">
        <v>161578</v>
      </c>
      <c r="F17" s="21">
        <v>945723</v>
      </c>
      <c r="G17" s="21">
        <v>48245</v>
      </c>
      <c r="H17" s="21">
        <v>993922</v>
      </c>
    </row>
    <row r="18" spans="1:8">
      <c r="A18" s="20">
        <v>44286</v>
      </c>
      <c r="B18" s="23" t="s">
        <v>74</v>
      </c>
      <c r="C18" s="21">
        <v>277957</v>
      </c>
      <c r="D18" s="21">
        <v>490415</v>
      </c>
      <c r="E18" s="21">
        <v>154050</v>
      </c>
      <c r="F18" s="21">
        <v>941024</v>
      </c>
      <c r="G18" s="21">
        <v>47756</v>
      </c>
      <c r="H18" s="21">
        <v>988793</v>
      </c>
    </row>
    <row r="19" spans="1:8">
      <c r="A19" s="20">
        <v>44377</v>
      </c>
      <c r="B19" s="23" t="s">
        <v>75</v>
      </c>
      <c r="C19" s="21">
        <v>284060</v>
      </c>
      <c r="D19" s="21">
        <v>490817</v>
      </c>
      <c r="E19" s="21">
        <v>133593</v>
      </c>
      <c r="F19" s="21">
        <v>918391</v>
      </c>
      <c r="G19" s="21">
        <v>47040</v>
      </c>
      <c r="H19" s="21">
        <v>965383</v>
      </c>
    </row>
    <row r="20" spans="1:8">
      <c r="A20" s="20">
        <v>44469</v>
      </c>
      <c r="B20" s="23" t="s">
        <v>76</v>
      </c>
      <c r="C20" s="21">
        <v>322329</v>
      </c>
      <c r="D20" s="21">
        <v>516084</v>
      </c>
      <c r="E20" s="21">
        <v>134952</v>
      </c>
      <c r="F20" s="21">
        <v>972209</v>
      </c>
      <c r="G20" s="21">
        <v>48339</v>
      </c>
      <c r="H20" s="21">
        <v>1020704</v>
      </c>
    </row>
    <row r="21" spans="1:8">
      <c r="A21" s="20">
        <v>44561</v>
      </c>
      <c r="B21" s="23" t="s">
        <v>77</v>
      </c>
      <c r="C21" s="21">
        <v>339208</v>
      </c>
      <c r="D21" s="21">
        <v>525212</v>
      </c>
      <c r="E21" s="21">
        <v>165139</v>
      </c>
      <c r="F21" s="21">
        <v>1032113</v>
      </c>
      <c r="G21" s="21">
        <v>50812</v>
      </c>
      <c r="H21" s="21">
        <v>1083163</v>
      </c>
    </row>
    <row r="22" spans="1:8">
      <c r="A22" s="20">
        <v>44651</v>
      </c>
      <c r="B22" s="23" t="s">
        <v>78</v>
      </c>
      <c r="C22" s="21">
        <v>333944</v>
      </c>
      <c r="D22" s="21">
        <v>540992</v>
      </c>
      <c r="E22" s="21">
        <v>160997</v>
      </c>
      <c r="F22" s="21">
        <v>1043890</v>
      </c>
      <c r="G22" s="21">
        <v>54779</v>
      </c>
      <c r="H22" s="21">
        <v>1099270</v>
      </c>
    </row>
    <row r="23" spans="1:8">
      <c r="A23" s="20">
        <v>44742</v>
      </c>
      <c r="B23" s="23" t="s">
        <v>79</v>
      </c>
      <c r="C23" s="21">
        <v>347996</v>
      </c>
      <c r="D23" s="21">
        <v>556594</v>
      </c>
      <c r="E23" s="21">
        <v>139528</v>
      </c>
      <c r="F23" s="21">
        <v>1049616</v>
      </c>
      <c r="G23" s="21">
        <v>55090</v>
      </c>
      <c r="H23" s="21">
        <v>1105314</v>
      </c>
    </row>
    <row r="24" spans="1:8">
      <c r="A24" s="20">
        <v>44834</v>
      </c>
      <c r="B24" s="23" t="s">
        <v>80</v>
      </c>
      <c r="C24" s="21">
        <v>367470</v>
      </c>
      <c r="D24" s="21">
        <v>584079</v>
      </c>
      <c r="E24" s="21">
        <v>141144</v>
      </c>
      <c r="F24" s="21">
        <v>1097837</v>
      </c>
      <c r="G24" s="21">
        <v>55264</v>
      </c>
      <c r="H24" s="21">
        <v>1153237</v>
      </c>
    </row>
    <row r="25" spans="1:8">
      <c r="A25" s="20">
        <v>44926</v>
      </c>
      <c r="B25" s="23" t="s">
        <v>81</v>
      </c>
      <c r="C25" s="21">
        <v>357207</v>
      </c>
      <c r="D25" s="21">
        <v>591823</v>
      </c>
      <c r="E25" s="21">
        <v>173352</v>
      </c>
      <c r="F25" s="21">
        <v>1131314</v>
      </c>
      <c r="G25" s="21">
        <v>55966</v>
      </c>
      <c r="H25" s="21">
        <v>1187211</v>
      </c>
    </row>
    <row r="26" spans="1:8">
      <c r="A26" s="20">
        <v>45016</v>
      </c>
      <c r="B26" s="23" t="s">
        <v>82</v>
      </c>
      <c r="C26" s="21">
        <v>336549</v>
      </c>
      <c r="D26" s="21">
        <v>597497</v>
      </c>
      <c r="E26" s="21">
        <v>164264</v>
      </c>
      <c r="F26" s="21">
        <v>1100849</v>
      </c>
      <c r="G26" s="21">
        <v>58986</v>
      </c>
      <c r="H26" s="21">
        <v>1159934</v>
      </c>
    </row>
    <row r="27" spans="1:8">
      <c r="A27" s="20">
        <v>45107</v>
      </c>
      <c r="B27" s="23" t="s">
        <v>83</v>
      </c>
      <c r="C27" s="21">
        <v>335233</v>
      </c>
      <c r="D27" s="21">
        <v>599052</v>
      </c>
      <c r="E27" s="21">
        <v>138876</v>
      </c>
      <c r="F27" s="21">
        <v>1076593</v>
      </c>
      <c r="G27" s="21">
        <v>58306</v>
      </c>
      <c r="H27" s="21">
        <v>1134944</v>
      </c>
    </row>
    <row r="28" spans="1:8">
      <c r="A28" s="20">
        <v>45199</v>
      </c>
      <c r="B28" s="23" t="s">
        <v>84</v>
      </c>
      <c r="C28" s="21">
        <v>308276</v>
      </c>
      <c r="D28" s="21">
        <v>613230</v>
      </c>
      <c r="E28" s="21">
        <v>142784</v>
      </c>
      <c r="F28" s="21">
        <v>1062954</v>
      </c>
      <c r="G28" s="21">
        <v>60008</v>
      </c>
      <c r="H28" s="21">
        <v>1122801</v>
      </c>
    </row>
    <row r="29" spans="1:8">
      <c r="A29" s="20">
        <v>45291</v>
      </c>
      <c r="B29" s="23" t="s">
        <v>85</v>
      </c>
      <c r="C29" s="21">
        <v>299276</v>
      </c>
      <c r="D29" s="21">
        <v>622004</v>
      </c>
      <c r="E29" s="21">
        <v>175848</v>
      </c>
      <c r="F29" s="21">
        <v>1092493</v>
      </c>
      <c r="G29" s="21">
        <v>59505</v>
      </c>
      <c r="H29" s="21">
        <v>1152014</v>
      </c>
    </row>
    <row r="30" spans="1:8">
      <c r="A30" s="20">
        <v>45382</v>
      </c>
      <c r="B30" s="23" t="s">
        <v>86</v>
      </c>
      <c r="C30" s="21">
        <v>299037</v>
      </c>
      <c r="D30" s="21">
        <v>635751</v>
      </c>
      <c r="E30" s="21">
        <v>168528</v>
      </c>
      <c r="F30" s="21">
        <v>1103316</v>
      </c>
      <c r="G30" s="21">
        <v>60874</v>
      </c>
      <c r="H30" s="21">
        <v>1164190</v>
      </c>
    </row>
    <row r="31" spans="1:8">
      <c r="A31" s="20">
        <v>45473</v>
      </c>
      <c r="B31" s="23" t="s">
        <v>87</v>
      </c>
      <c r="C31" s="21">
        <v>305639</v>
      </c>
      <c r="D31" s="21">
        <v>637063</v>
      </c>
      <c r="E31" s="21">
        <v>145185</v>
      </c>
      <c r="F31" s="21">
        <v>1087887</v>
      </c>
      <c r="G31" s="21">
        <v>60437</v>
      </c>
      <c r="H31" s="21">
        <v>1148324</v>
      </c>
    </row>
    <row r="32" spans="1:8">
      <c r="A32" s="20">
        <v>45565</v>
      </c>
      <c r="B32" s="23" t="s">
        <v>88</v>
      </c>
      <c r="C32" s="21">
        <v>308513</v>
      </c>
      <c r="D32" s="21">
        <v>646706</v>
      </c>
      <c r="E32" s="21">
        <v>148589</v>
      </c>
      <c r="F32" s="21">
        <v>1103807</v>
      </c>
      <c r="G32" s="21">
        <v>62843</v>
      </c>
      <c r="H32" s="21">
        <v>1166650</v>
      </c>
    </row>
    <row r="33" spans="1:8">
      <c r="A33" s="20">
        <v>45657</v>
      </c>
      <c r="B33" s="23" t="s">
        <v>89</v>
      </c>
      <c r="C33" s="21">
        <v>309764</v>
      </c>
      <c r="D33" s="21">
        <v>658276</v>
      </c>
      <c r="E33" s="21">
        <v>180185</v>
      </c>
      <c r="F33" s="21">
        <v>1148225</v>
      </c>
      <c r="G33" s="21">
        <v>63352</v>
      </c>
      <c r="H33" s="21">
        <v>1211577</v>
      </c>
    </row>
    <row r="34" spans="1:8">
      <c r="A34" s="20">
        <v>45747</v>
      </c>
      <c r="B34" s="23" t="s">
        <v>90</v>
      </c>
      <c r="C34" s="21">
        <v>297747</v>
      </c>
      <c r="D34" s="21">
        <v>670855</v>
      </c>
      <c r="E34" s="21">
        <v>173860</v>
      </c>
      <c r="F34" s="21">
        <v>1143676</v>
      </c>
      <c r="G34" s="21">
        <v>63346</v>
      </c>
      <c r="H34" s="21">
        <v>1207010</v>
      </c>
    </row>
    <row r="35" spans="1:8">
      <c r="A35" s="20">
        <v>45838</v>
      </c>
      <c r="B35" s="23" t="s">
        <v>91</v>
      </c>
      <c r="C35" s="21">
        <v>317441</v>
      </c>
      <c r="D35" s="21">
        <v>672861</v>
      </c>
      <c r="E35" s="21">
        <v>145865</v>
      </c>
      <c r="F35" s="21">
        <v>1135894</v>
      </c>
      <c r="G35" s="21">
        <v>63624</v>
      </c>
      <c r="H35" s="21">
        <v>1199530</v>
      </c>
    </row>
    <row r="36" spans="1:8">
      <c r="A36" s="20">
        <v>45930</v>
      </c>
      <c r="B36" s="23" t="s">
        <v>92</v>
      </c>
      <c r="C36" s="21">
        <v>334013</v>
      </c>
      <c r="D36" s="21">
        <v>674224</v>
      </c>
      <c r="E36" s="21">
        <v>150604</v>
      </c>
      <c r="F36" s="21">
        <v>1157788</v>
      </c>
      <c r="G36" s="21">
        <v>65065</v>
      </c>
      <c r="H36" s="21">
        <v>1222872</v>
      </c>
    </row>
    <row r="37" spans="1:8">
      <c r="A37" s="20">
        <v>46022</v>
      </c>
      <c r="B37" s="24" t="s">
        <v>93</v>
      </c>
      <c r="C37" s="21">
        <v>343238</v>
      </c>
      <c r="D37" s="21">
        <v>686497</v>
      </c>
      <c r="E37" s="21">
        <v>178064</v>
      </c>
      <c r="F37" s="21">
        <v>1206974</v>
      </c>
      <c r="G37" s="21">
        <v>65609</v>
      </c>
      <c r="H37" s="21">
        <v>1272528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D0BE-2DAB-4F9A-A735-52D527414D5E}">
  <sheetPr>
    <tabColor rgb="FF002060"/>
  </sheetPr>
  <dimension ref="A1:C65"/>
  <sheetViews>
    <sheetView workbookViewId="0">
      <selection activeCell="C65" sqref="A1:C65"/>
    </sheetView>
  </sheetViews>
  <sheetFormatPr defaultColWidth="8.88671875" defaultRowHeight="14.4"/>
  <cols>
    <col min="1" max="1" width="8.6640625" style="22" bestFit="1" customWidth="1"/>
    <col min="2" max="2" width="10.6640625" style="24" bestFit="1" customWidth="1"/>
    <col min="3" max="3" width="10.88671875" style="24" bestFit="1" customWidth="1"/>
  </cols>
  <sheetData>
    <row r="1" spans="1:3">
      <c r="A1" s="22" t="s">
        <v>0</v>
      </c>
      <c r="B1" s="24" t="s">
        <v>50</v>
      </c>
      <c r="C1" s="24" t="s">
        <v>51</v>
      </c>
    </row>
    <row r="2" spans="1:3">
      <c r="A2" s="23">
        <v>40268</v>
      </c>
      <c r="B2" s="24">
        <v>218109000</v>
      </c>
      <c r="C2" s="24">
        <v>82644500</v>
      </c>
    </row>
    <row r="3" spans="1:3">
      <c r="A3" s="23">
        <v>40359</v>
      </c>
      <c r="B3" s="24">
        <v>229396000</v>
      </c>
      <c r="C3" s="24">
        <v>92419900</v>
      </c>
    </row>
    <row r="4" spans="1:3">
      <c r="A4" s="23">
        <v>40451</v>
      </c>
      <c r="B4" s="24">
        <v>226448000</v>
      </c>
      <c r="C4" s="24">
        <v>90270400</v>
      </c>
    </row>
    <row r="5" spans="1:3">
      <c r="A5" s="23">
        <v>40543</v>
      </c>
      <c r="B5" s="24">
        <v>267832000</v>
      </c>
      <c r="C5" s="24">
        <v>96024600</v>
      </c>
    </row>
    <row r="6" spans="1:3">
      <c r="A6" s="23">
        <v>40633</v>
      </c>
      <c r="B6" s="24">
        <v>304907000</v>
      </c>
      <c r="C6" s="24">
        <v>98265100</v>
      </c>
    </row>
    <row r="7" spans="1:3">
      <c r="A7" s="23">
        <v>40724</v>
      </c>
      <c r="B7" s="24">
        <v>342634000</v>
      </c>
      <c r="C7" s="24">
        <v>113338800</v>
      </c>
    </row>
    <row r="8" spans="1:3">
      <c r="A8" s="23">
        <v>40816</v>
      </c>
      <c r="B8" s="24">
        <v>352534000</v>
      </c>
      <c r="C8" s="24">
        <v>115825500</v>
      </c>
    </row>
    <row r="9" spans="1:3">
      <c r="A9" s="23">
        <v>40908</v>
      </c>
      <c r="B9" s="24">
        <v>367544936</v>
      </c>
      <c r="C9" s="24">
        <v>117488700</v>
      </c>
    </row>
    <row r="10" spans="1:3">
      <c r="A10" s="23">
        <v>40999</v>
      </c>
      <c r="B10" s="24">
        <v>386790000</v>
      </c>
      <c r="C10" s="24">
        <v>123055000</v>
      </c>
    </row>
    <row r="11" spans="1:3">
      <c r="A11" s="23">
        <v>41090</v>
      </c>
      <c r="B11" s="24">
        <v>367846000</v>
      </c>
      <c r="C11" s="24">
        <v>135582310</v>
      </c>
    </row>
    <row r="12" spans="1:3">
      <c r="A12" s="23">
        <v>41182</v>
      </c>
      <c r="B12" s="24">
        <v>346435000</v>
      </c>
      <c r="C12" s="24">
        <v>133421390</v>
      </c>
    </row>
    <row r="13" spans="1:3">
      <c r="A13" s="23">
        <v>41274</v>
      </c>
      <c r="B13" s="24">
        <v>355315000</v>
      </c>
      <c r="C13" s="24">
        <v>133853400</v>
      </c>
    </row>
    <row r="14" spans="1:3">
      <c r="A14" s="23">
        <v>41364</v>
      </c>
      <c r="B14" s="24">
        <v>338895000</v>
      </c>
      <c r="C14" s="24">
        <v>141422900</v>
      </c>
    </row>
    <row r="15" spans="1:3">
      <c r="A15" s="23">
        <v>41455</v>
      </c>
      <c r="B15" s="24">
        <v>336840000</v>
      </c>
      <c r="C15" s="24">
        <v>151676000</v>
      </c>
    </row>
    <row r="16" spans="1:3">
      <c r="A16" s="23">
        <v>41547</v>
      </c>
      <c r="B16" s="24">
        <v>366379000</v>
      </c>
      <c r="C16" s="24">
        <v>140643100</v>
      </c>
    </row>
    <row r="17" spans="1:3">
      <c r="A17" s="23">
        <v>41639</v>
      </c>
      <c r="B17" s="24">
        <v>367514532</v>
      </c>
      <c r="C17" s="24">
        <v>134990800</v>
      </c>
    </row>
    <row r="18" spans="1:3">
      <c r="A18" s="23">
        <v>41729</v>
      </c>
      <c r="B18" s="24">
        <v>352725400</v>
      </c>
      <c r="C18" s="24">
        <v>137181500</v>
      </c>
    </row>
    <row r="19" spans="1:3">
      <c r="A19" s="23">
        <v>41820</v>
      </c>
      <c r="B19" s="24">
        <v>351175600</v>
      </c>
      <c r="C19" s="24">
        <v>153371600</v>
      </c>
    </row>
    <row r="20" spans="1:3">
      <c r="A20" s="23">
        <v>41912</v>
      </c>
      <c r="B20" s="24">
        <v>328242500</v>
      </c>
      <c r="C20" s="24">
        <v>152238572</v>
      </c>
    </row>
    <row r="21" spans="1:3">
      <c r="A21" s="23">
        <v>42004</v>
      </c>
      <c r="B21" s="24">
        <v>252069800</v>
      </c>
      <c r="C21" s="24">
        <v>144922000</v>
      </c>
    </row>
    <row r="22" spans="1:3">
      <c r="A22" s="23">
        <v>42094</v>
      </c>
      <c r="B22" s="24">
        <v>192865000</v>
      </c>
      <c r="C22" s="24">
        <v>147803490</v>
      </c>
    </row>
    <row r="23" spans="1:3">
      <c r="A23" s="23">
        <v>42185</v>
      </c>
      <c r="B23" s="24">
        <v>220714000</v>
      </c>
      <c r="C23" s="24">
        <v>153029224</v>
      </c>
    </row>
    <row r="24" spans="1:3">
      <c r="A24" s="23">
        <v>42277</v>
      </c>
      <c r="B24" s="24">
        <v>184980000</v>
      </c>
      <c r="C24" s="24">
        <v>141905290</v>
      </c>
    </row>
    <row r="25" spans="1:3">
      <c r="A25" s="23">
        <v>42369</v>
      </c>
      <c r="B25" s="24">
        <v>164703000</v>
      </c>
      <c r="C25" s="24">
        <v>147978400</v>
      </c>
    </row>
    <row r="26" spans="1:3">
      <c r="A26" s="23">
        <v>42460</v>
      </c>
      <c r="B26" s="24">
        <v>140211000</v>
      </c>
      <c r="C26" s="24">
        <v>129086999</v>
      </c>
    </row>
    <row r="27" spans="1:3">
      <c r="A27" s="23">
        <v>42551</v>
      </c>
      <c r="B27" s="24">
        <v>175966000</v>
      </c>
      <c r="C27" s="24">
        <v>125960396</v>
      </c>
    </row>
    <row r="28" spans="1:3">
      <c r="A28" s="23">
        <v>42643</v>
      </c>
      <c r="B28" s="24">
        <v>175479000</v>
      </c>
      <c r="C28" s="24">
        <v>105861604</v>
      </c>
    </row>
    <row r="29" spans="1:3">
      <c r="A29" s="23">
        <v>42735</v>
      </c>
      <c r="B29" s="24">
        <v>196872000</v>
      </c>
      <c r="C29" s="24">
        <v>113247401</v>
      </c>
    </row>
    <row r="30" spans="1:3">
      <c r="A30" s="23">
        <v>42825</v>
      </c>
      <c r="B30" s="24">
        <v>207398769</v>
      </c>
      <c r="C30" s="24">
        <v>114115428</v>
      </c>
    </row>
    <row r="31" spans="1:3">
      <c r="A31" s="23">
        <v>42916</v>
      </c>
      <c r="B31" s="24">
        <v>189753385</v>
      </c>
      <c r="C31" s="24">
        <v>114883274</v>
      </c>
    </row>
    <row r="32" spans="1:3">
      <c r="A32" s="23">
        <v>43008</v>
      </c>
      <c r="B32" s="24">
        <v>196313000</v>
      </c>
      <c r="C32" s="24">
        <v>112309605</v>
      </c>
    </row>
    <row r="33" spans="1:3">
      <c r="A33" s="23">
        <v>43100</v>
      </c>
      <c r="B33" s="24">
        <v>238516000</v>
      </c>
      <c r="C33" s="24">
        <v>116400092</v>
      </c>
    </row>
    <row r="34" spans="1:3">
      <c r="A34" s="23">
        <v>43190</v>
      </c>
      <c r="B34" s="24">
        <v>244247000</v>
      </c>
      <c r="C34" s="24">
        <v>114266500</v>
      </c>
    </row>
    <row r="35" spans="1:3">
      <c r="A35" s="23">
        <v>43281</v>
      </c>
      <c r="B35" s="24">
        <v>281109000</v>
      </c>
      <c r="C35" s="24">
        <v>120544800</v>
      </c>
    </row>
    <row r="36" spans="1:3">
      <c r="A36" s="23">
        <v>43373</v>
      </c>
      <c r="B36" s="24">
        <v>288445000</v>
      </c>
      <c r="C36" s="24">
        <v>116126800</v>
      </c>
    </row>
    <row r="37" spans="1:3">
      <c r="A37" s="23">
        <v>43465</v>
      </c>
      <c r="B37" s="24">
        <v>290151000</v>
      </c>
      <c r="C37" s="24">
        <v>115063400</v>
      </c>
    </row>
    <row r="38" spans="1:3">
      <c r="A38" s="23">
        <v>43555</v>
      </c>
      <c r="B38" s="24">
        <v>249100277</v>
      </c>
      <c r="C38" s="24">
        <v>119770658</v>
      </c>
    </row>
    <row r="39" spans="1:3">
      <c r="A39" s="23">
        <v>43646</v>
      </c>
      <c r="B39" s="24">
        <v>252631010</v>
      </c>
      <c r="C39" s="24">
        <v>137457751</v>
      </c>
    </row>
    <row r="40" spans="1:3">
      <c r="A40" s="23">
        <v>43738</v>
      </c>
      <c r="B40" s="24">
        <v>235886726</v>
      </c>
      <c r="C40" s="24">
        <v>131919337</v>
      </c>
    </row>
    <row r="41" spans="1:3">
      <c r="A41" s="23">
        <v>43830</v>
      </c>
      <c r="B41" s="24">
        <v>243446351</v>
      </c>
      <c r="C41" s="24">
        <v>131162963</v>
      </c>
    </row>
    <row r="42" spans="1:3">
      <c r="A42" s="23">
        <v>43921</v>
      </c>
      <c r="B42" s="24">
        <v>191685000</v>
      </c>
      <c r="C42" s="24">
        <v>119721700</v>
      </c>
    </row>
    <row r="43" spans="1:3">
      <c r="A43" s="23">
        <v>44012</v>
      </c>
      <c r="B43" s="24">
        <v>119665000</v>
      </c>
      <c r="C43" s="24">
        <v>112627400</v>
      </c>
    </row>
    <row r="44" spans="1:3">
      <c r="A44" s="23">
        <v>44104</v>
      </c>
      <c r="B44" s="24">
        <v>160586000</v>
      </c>
      <c r="C44" s="24">
        <v>110919300</v>
      </c>
    </row>
    <row r="45" spans="1:3">
      <c r="A45" s="23">
        <v>44196</v>
      </c>
      <c r="B45" s="24">
        <v>180054000</v>
      </c>
      <c r="C45" s="24">
        <v>123755800</v>
      </c>
    </row>
    <row r="46" spans="1:3">
      <c r="A46" s="23">
        <v>44286</v>
      </c>
      <c r="B46" s="24">
        <v>208045000</v>
      </c>
      <c r="C46" s="24">
        <v>125843200</v>
      </c>
    </row>
    <row r="47" spans="1:3">
      <c r="A47" s="23">
        <v>44377</v>
      </c>
      <c r="B47" s="24">
        <v>232190000</v>
      </c>
      <c r="C47" s="24">
        <v>127037738</v>
      </c>
    </row>
    <row r="48" spans="1:3">
      <c r="A48" s="23">
        <v>44469</v>
      </c>
      <c r="B48" s="24">
        <v>273617000</v>
      </c>
      <c r="C48" s="24">
        <v>130818735</v>
      </c>
    </row>
    <row r="49" spans="1:3">
      <c r="A49" s="23">
        <v>44561</v>
      </c>
      <c r="B49" s="24">
        <v>321892000</v>
      </c>
      <c r="C49" s="24">
        <v>134574085</v>
      </c>
    </row>
    <row r="50" spans="1:3">
      <c r="A50" s="23">
        <v>44651</v>
      </c>
      <c r="B50" s="24">
        <v>367115674</v>
      </c>
      <c r="C50" s="24">
        <v>143551460</v>
      </c>
    </row>
    <row r="51" spans="1:3">
      <c r="A51" s="23">
        <v>44742</v>
      </c>
      <c r="B51" s="24">
        <v>427826379</v>
      </c>
      <c r="C51" s="24">
        <v>160481600</v>
      </c>
    </row>
    <row r="52" spans="1:3">
      <c r="A52" s="23">
        <v>44834</v>
      </c>
      <c r="B52" s="24">
        <v>399094000</v>
      </c>
      <c r="C52" s="24">
        <v>168161800</v>
      </c>
    </row>
    <row r="53" spans="1:3">
      <c r="A53" s="23">
        <v>44926</v>
      </c>
      <c r="B53" s="24">
        <v>348015000</v>
      </c>
      <c r="C53" s="24">
        <v>180390206</v>
      </c>
    </row>
    <row r="54" spans="1:3">
      <c r="A54" s="23">
        <v>45016</v>
      </c>
      <c r="B54" s="24">
        <v>309497523</v>
      </c>
      <c r="C54" s="24">
        <v>173454487</v>
      </c>
    </row>
    <row r="55" spans="1:3">
      <c r="A55" s="23">
        <v>45107</v>
      </c>
      <c r="B55" s="24">
        <v>295294257</v>
      </c>
      <c r="C55" s="24">
        <v>174527347</v>
      </c>
    </row>
    <row r="56" spans="1:3">
      <c r="A56" s="23">
        <v>45199</v>
      </c>
      <c r="B56" s="24">
        <v>299849341</v>
      </c>
      <c r="C56" s="24">
        <v>179292276</v>
      </c>
    </row>
    <row r="57" spans="1:3">
      <c r="A57" s="23">
        <v>45291</v>
      </c>
      <c r="B57" s="24">
        <v>296183932</v>
      </c>
      <c r="C57" s="24">
        <v>184964276</v>
      </c>
    </row>
    <row r="58" spans="1:3">
      <c r="A58" s="23">
        <v>45382</v>
      </c>
      <c r="B58" s="24">
        <v>295408787</v>
      </c>
      <c r="C58" s="24">
        <v>190045532</v>
      </c>
    </row>
    <row r="59" spans="1:3">
      <c r="A59" s="23">
        <v>45473</v>
      </c>
      <c r="B59" s="24">
        <v>295667463</v>
      </c>
      <c r="C59" s="24">
        <v>193382480</v>
      </c>
    </row>
    <row r="60" spans="1:3">
      <c r="A60" s="23">
        <v>45565</v>
      </c>
      <c r="B60" s="24">
        <v>277227126</v>
      </c>
      <c r="C60" s="24">
        <v>201859790</v>
      </c>
    </row>
    <row r="61" spans="1:3">
      <c r="A61" s="23">
        <v>45657</v>
      </c>
      <c r="B61" s="24">
        <v>278360255</v>
      </c>
      <c r="C61" s="24">
        <v>216283814</v>
      </c>
    </row>
    <row r="62" spans="1:3">
      <c r="A62" s="23">
        <v>45747</v>
      </c>
      <c r="B62" s="24">
        <v>287358145</v>
      </c>
      <c r="C62" s="24">
        <v>207000257</v>
      </c>
    </row>
    <row r="63" spans="1:3">
      <c r="A63" s="23">
        <v>45838</v>
      </c>
      <c r="B63" s="24">
        <v>274327793</v>
      </c>
      <c r="C63" s="24">
        <v>214997100</v>
      </c>
    </row>
    <row r="64" spans="1:3">
      <c r="A64" s="23">
        <v>45930</v>
      </c>
      <c r="B64" s="24">
        <v>304012326</v>
      </c>
      <c r="C64" s="24">
        <v>215804142</v>
      </c>
    </row>
    <row r="65" spans="1:3">
      <c r="A65" s="23">
        <v>46022</v>
      </c>
      <c r="B65" s="24">
        <v>300397074</v>
      </c>
      <c r="C65" s="24">
        <v>222915189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3AC2-E36E-4EC6-89E9-86EA77E25C83}">
  <sheetPr codeName="Sheet2">
    <tabColor rgb="FF002060"/>
  </sheetPr>
  <dimension ref="A1:K64"/>
  <sheetViews>
    <sheetView workbookViewId="0">
      <selection activeCell="B2" sqref="B2:B37"/>
    </sheetView>
  </sheetViews>
  <sheetFormatPr defaultColWidth="9.109375" defaultRowHeight="10.8"/>
  <cols>
    <col min="1" max="1" width="8.6640625" style="25" bestFit="1" customWidth="1"/>
    <col min="2" max="2" width="10.6640625" style="25" bestFit="1" customWidth="1"/>
    <col min="3" max="3" width="15" style="25" bestFit="1" customWidth="1"/>
    <col min="4" max="4" width="13.5546875" style="25" bestFit="1" customWidth="1"/>
    <col min="5" max="5" width="17.33203125" style="25" bestFit="1" customWidth="1"/>
    <col min="6" max="6" width="16.109375" style="25" bestFit="1" customWidth="1"/>
    <col min="7" max="7" width="14.5546875" style="25" bestFit="1" customWidth="1"/>
    <col min="8" max="8" width="8" style="25" bestFit="1" customWidth="1"/>
    <col min="9" max="9" width="11.6640625" style="25" bestFit="1" customWidth="1"/>
    <col min="10" max="10" width="13.44140625" style="25" bestFit="1" customWidth="1"/>
    <col min="11" max="11" width="16.33203125" style="25" bestFit="1" customWidth="1"/>
    <col min="12" max="16384" width="9.109375" style="25"/>
  </cols>
  <sheetData>
    <row r="1" spans="1:11">
      <c r="A1" s="22" t="s">
        <v>0</v>
      </c>
      <c r="B1" s="22" t="s">
        <v>57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  <c r="K1" s="22" t="s">
        <v>24</v>
      </c>
    </row>
    <row r="2" spans="1:11">
      <c r="A2" s="23">
        <v>42825</v>
      </c>
      <c r="B2" s="23" t="s">
        <v>58</v>
      </c>
      <c r="C2" s="24">
        <v>144100</v>
      </c>
      <c r="D2" s="24">
        <v>115100</v>
      </c>
      <c r="E2" s="24">
        <v>29000</v>
      </c>
      <c r="F2" s="24">
        <v>21900</v>
      </c>
      <c r="G2" s="24">
        <v>2100</v>
      </c>
      <c r="H2" s="24">
        <v>10400</v>
      </c>
      <c r="I2" s="24">
        <v>5300</v>
      </c>
      <c r="J2" s="24">
        <v>4100</v>
      </c>
      <c r="K2" s="24">
        <v>7100</v>
      </c>
    </row>
    <row r="3" spans="1:11">
      <c r="A3" s="23">
        <v>42916</v>
      </c>
      <c r="B3" s="23" t="s">
        <v>59</v>
      </c>
      <c r="C3" s="24">
        <v>163900</v>
      </c>
      <c r="D3" s="24">
        <v>101000</v>
      </c>
      <c r="E3" s="24">
        <v>62900</v>
      </c>
      <c r="F3" s="24">
        <v>26700</v>
      </c>
      <c r="G3" s="24">
        <v>3500</v>
      </c>
      <c r="H3" s="24">
        <v>11200</v>
      </c>
      <c r="I3" s="24">
        <v>5800</v>
      </c>
      <c r="J3" s="24">
        <v>6200</v>
      </c>
      <c r="K3" s="24">
        <v>36200</v>
      </c>
    </row>
    <row r="4" spans="1:11">
      <c r="A4" s="23">
        <v>43008</v>
      </c>
      <c r="B4" s="23" t="s">
        <v>60</v>
      </c>
      <c r="C4" s="24">
        <v>142100</v>
      </c>
      <c r="D4" s="24">
        <v>94300</v>
      </c>
      <c r="E4" s="24">
        <v>47800</v>
      </c>
      <c r="F4" s="24">
        <v>25300</v>
      </c>
      <c r="G4" s="24">
        <v>2800</v>
      </c>
      <c r="H4" s="24">
        <v>12100</v>
      </c>
      <c r="I4" s="24">
        <v>4900</v>
      </c>
      <c r="J4" s="24">
        <v>5500</v>
      </c>
      <c r="K4" s="24">
        <v>22500</v>
      </c>
    </row>
    <row r="5" spans="1:11">
      <c r="A5" s="23">
        <v>43100</v>
      </c>
      <c r="B5" s="23" t="s">
        <v>61</v>
      </c>
      <c r="C5" s="24">
        <v>241500</v>
      </c>
      <c r="D5" s="24">
        <v>129500</v>
      </c>
      <c r="E5" s="24">
        <v>112000</v>
      </c>
      <c r="F5" s="24">
        <v>36500</v>
      </c>
      <c r="G5" s="24">
        <v>5100</v>
      </c>
      <c r="H5" s="24">
        <v>13100</v>
      </c>
      <c r="I5" s="24">
        <v>5400</v>
      </c>
      <c r="J5" s="24">
        <v>12900</v>
      </c>
      <c r="K5" s="24">
        <v>75500</v>
      </c>
    </row>
    <row r="6" spans="1:11">
      <c r="A6" s="23">
        <v>43190</v>
      </c>
      <c r="B6" s="23" t="s">
        <v>62</v>
      </c>
      <c r="C6" s="24">
        <v>166300</v>
      </c>
      <c r="D6" s="24">
        <v>113900</v>
      </c>
      <c r="E6" s="24">
        <v>52400</v>
      </c>
      <c r="F6" s="24">
        <v>35900</v>
      </c>
      <c r="G6" s="24">
        <v>3200</v>
      </c>
      <c r="H6" s="24">
        <v>24300</v>
      </c>
      <c r="I6" s="24">
        <v>3800</v>
      </c>
      <c r="J6" s="24">
        <v>4600</v>
      </c>
      <c r="K6" s="24">
        <v>16500</v>
      </c>
    </row>
    <row r="7" spans="1:11">
      <c r="A7" s="23">
        <v>43281</v>
      </c>
      <c r="B7" s="23" t="s">
        <v>63</v>
      </c>
      <c r="C7" s="24">
        <v>273600</v>
      </c>
      <c r="D7" s="24">
        <v>184200</v>
      </c>
      <c r="E7" s="24">
        <v>89400</v>
      </c>
      <c r="F7" s="24">
        <v>48400</v>
      </c>
      <c r="G7" s="24">
        <v>4400</v>
      </c>
      <c r="H7" s="24">
        <v>29500</v>
      </c>
      <c r="I7" s="24">
        <v>4300</v>
      </c>
      <c r="J7" s="24">
        <v>10200</v>
      </c>
      <c r="K7" s="24">
        <v>41000</v>
      </c>
    </row>
    <row r="8" spans="1:11">
      <c r="A8" s="23">
        <v>43373</v>
      </c>
      <c r="B8" s="23" t="s">
        <v>64</v>
      </c>
      <c r="C8" s="24">
        <v>223300</v>
      </c>
      <c r="D8" s="24">
        <v>154000</v>
      </c>
      <c r="E8" s="24">
        <v>69300</v>
      </c>
      <c r="F8" s="24">
        <v>43900</v>
      </c>
      <c r="G8" s="24">
        <v>3900</v>
      </c>
      <c r="H8" s="24">
        <v>30100</v>
      </c>
      <c r="I8" s="24">
        <v>4100</v>
      </c>
      <c r="J8" s="24">
        <v>5800</v>
      </c>
      <c r="K8" s="24">
        <v>25400</v>
      </c>
    </row>
    <row r="9" spans="1:11">
      <c r="A9" s="23">
        <v>43465</v>
      </c>
      <c r="B9" s="23" t="s">
        <v>65</v>
      </c>
      <c r="C9" s="24">
        <v>252000</v>
      </c>
      <c r="D9" s="24">
        <v>158000</v>
      </c>
      <c r="E9" s="24">
        <v>94000</v>
      </c>
      <c r="F9" s="24">
        <v>58300</v>
      </c>
      <c r="G9" s="24">
        <v>5200</v>
      </c>
      <c r="H9" s="24">
        <v>34200</v>
      </c>
      <c r="I9" s="24">
        <v>4400</v>
      </c>
      <c r="J9" s="24">
        <v>14500</v>
      </c>
      <c r="K9" s="24">
        <v>35700</v>
      </c>
    </row>
    <row r="10" spans="1:11">
      <c r="A10" s="23">
        <v>43555</v>
      </c>
      <c r="B10" s="23" t="s">
        <v>66</v>
      </c>
      <c r="C10" s="24">
        <v>245400</v>
      </c>
      <c r="D10" s="24">
        <v>169100</v>
      </c>
      <c r="E10" s="24">
        <v>76300</v>
      </c>
      <c r="F10" s="24">
        <v>51900</v>
      </c>
      <c r="G10" s="24">
        <v>3500</v>
      </c>
      <c r="H10" s="24">
        <v>39100</v>
      </c>
      <c r="I10" s="24">
        <v>4200</v>
      </c>
      <c r="J10" s="24">
        <v>5100</v>
      </c>
      <c r="K10" s="24">
        <v>24400</v>
      </c>
    </row>
    <row r="11" spans="1:11">
      <c r="A11" s="23">
        <v>43646</v>
      </c>
      <c r="B11" s="23" t="s">
        <v>67</v>
      </c>
      <c r="C11" s="24">
        <v>260700</v>
      </c>
      <c r="D11" s="24">
        <v>174400</v>
      </c>
      <c r="E11" s="24">
        <v>86300</v>
      </c>
      <c r="F11" s="24">
        <v>60300</v>
      </c>
      <c r="G11" s="24">
        <v>4800</v>
      </c>
      <c r="H11" s="24">
        <v>38600</v>
      </c>
      <c r="I11" s="24">
        <v>4500</v>
      </c>
      <c r="J11" s="24">
        <v>12400</v>
      </c>
      <c r="K11" s="24">
        <v>26000</v>
      </c>
    </row>
    <row r="12" spans="1:11">
      <c r="A12" s="23">
        <v>43738</v>
      </c>
      <c r="B12" s="23" t="s">
        <v>68</v>
      </c>
      <c r="C12" s="24">
        <v>171500</v>
      </c>
      <c r="D12" s="24">
        <v>131800</v>
      </c>
      <c r="E12" s="24">
        <v>62100</v>
      </c>
      <c r="F12" s="24">
        <v>50900</v>
      </c>
      <c r="G12" s="24">
        <v>4100</v>
      </c>
      <c r="H12" s="24">
        <v>37400</v>
      </c>
      <c r="I12" s="24">
        <v>4100</v>
      </c>
      <c r="J12" s="24">
        <v>5300</v>
      </c>
      <c r="K12" s="24">
        <v>11200</v>
      </c>
    </row>
    <row r="13" spans="1:11">
      <c r="A13" s="23">
        <v>43830</v>
      </c>
      <c r="B13" s="23" t="s">
        <v>69</v>
      </c>
      <c r="C13" s="24">
        <v>239100</v>
      </c>
      <c r="D13" s="24">
        <v>118800</v>
      </c>
      <c r="E13" s="24">
        <v>120300</v>
      </c>
      <c r="F13" s="24">
        <v>70500</v>
      </c>
      <c r="G13" s="24">
        <v>5700</v>
      </c>
      <c r="H13" s="24">
        <v>44500</v>
      </c>
      <c r="I13" s="24">
        <v>4700</v>
      </c>
      <c r="J13" s="24">
        <v>15600</v>
      </c>
      <c r="K13" s="24">
        <v>49800</v>
      </c>
    </row>
    <row r="14" spans="1:11">
      <c r="A14" s="23">
        <v>43921</v>
      </c>
      <c r="B14" s="23" t="s">
        <v>70</v>
      </c>
      <c r="C14" s="24">
        <v>192100</v>
      </c>
      <c r="D14" s="24">
        <v>128800</v>
      </c>
      <c r="E14" s="24">
        <v>63300</v>
      </c>
      <c r="F14" s="24">
        <v>51900</v>
      </c>
      <c r="G14" s="24">
        <v>3400</v>
      </c>
      <c r="H14" s="24">
        <v>41400</v>
      </c>
      <c r="I14" s="24">
        <v>3900</v>
      </c>
      <c r="J14" s="24">
        <v>3200</v>
      </c>
      <c r="K14" s="24">
        <v>11400</v>
      </c>
    </row>
    <row r="15" spans="1:11">
      <c r="A15" s="23">
        <v>44012</v>
      </c>
      <c r="B15" s="23" t="s">
        <v>71</v>
      </c>
      <c r="C15" s="24">
        <v>134100</v>
      </c>
      <c r="D15" s="24">
        <v>94800</v>
      </c>
      <c r="E15" s="24">
        <v>39300</v>
      </c>
      <c r="F15" s="24">
        <v>33800</v>
      </c>
      <c r="G15" s="24">
        <v>4500</v>
      </c>
      <c r="H15" s="24">
        <v>23300</v>
      </c>
      <c r="I15" s="24">
        <v>3500</v>
      </c>
      <c r="J15" s="24">
        <v>2500</v>
      </c>
      <c r="K15" s="24">
        <v>5500</v>
      </c>
    </row>
    <row r="16" spans="1:11">
      <c r="A16" s="23">
        <v>44104</v>
      </c>
      <c r="B16" s="23" t="s">
        <v>72</v>
      </c>
      <c r="C16" s="24">
        <v>215600</v>
      </c>
      <c r="D16" s="24">
        <v>103300</v>
      </c>
      <c r="E16" s="24">
        <v>112300</v>
      </c>
      <c r="F16" s="24">
        <v>62500</v>
      </c>
      <c r="G16" s="24">
        <v>3800</v>
      </c>
      <c r="H16" s="24">
        <v>50100</v>
      </c>
      <c r="I16" s="24">
        <v>4400</v>
      </c>
      <c r="J16" s="24">
        <v>4200</v>
      </c>
      <c r="K16" s="24">
        <v>49800</v>
      </c>
    </row>
    <row r="17" spans="1:11">
      <c r="A17" s="23">
        <v>44196</v>
      </c>
      <c r="B17" s="23" t="s">
        <v>73</v>
      </c>
      <c r="C17" s="24">
        <v>240200</v>
      </c>
      <c r="D17" s="24">
        <v>115100</v>
      </c>
      <c r="E17" s="24">
        <v>125100</v>
      </c>
      <c r="F17" s="24">
        <v>97300</v>
      </c>
      <c r="G17" s="24">
        <v>4900</v>
      </c>
      <c r="H17" s="24">
        <v>76500</v>
      </c>
      <c r="I17" s="24">
        <v>4700</v>
      </c>
      <c r="J17" s="24">
        <v>11200</v>
      </c>
      <c r="K17" s="24">
        <v>27800</v>
      </c>
    </row>
    <row r="18" spans="1:11">
      <c r="A18" s="23">
        <v>44286</v>
      </c>
      <c r="B18" s="23" t="s">
        <v>74</v>
      </c>
      <c r="C18" s="24">
        <v>204800</v>
      </c>
      <c r="D18" s="24">
        <v>116600</v>
      </c>
      <c r="E18" s="24">
        <v>88200</v>
      </c>
      <c r="F18" s="24">
        <v>66400</v>
      </c>
      <c r="G18" s="24">
        <v>4200</v>
      </c>
      <c r="H18" s="24">
        <v>53700</v>
      </c>
      <c r="I18" s="24">
        <v>4100</v>
      </c>
      <c r="J18" s="24">
        <v>4400</v>
      </c>
      <c r="K18" s="24">
        <v>21800</v>
      </c>
    </row>
    <row r="19" spans="1:11">
      <c r="A19" s="23">
        <v>44377</v>
      </c>
      <c r="B19" s="23" t="s">
        <v>75</v>
      </c>
      <c r="C19" s="24">
        <v>248100</v>
      </c>
      <c r="D19" s="24">
        <v>132100</v>
      </c>
      <c r="E19" s="24">
        <v>116000</v>
      </c>
      <c r="F19" s="24">
        <v>86900</v>
      </c>
      <c r="G19" s="24">
        <v>6100</v>
      </c>
      <c r="H19" s="24">
        <v>63500</v>
      </c>
      <c r="I19" s="24">
        <v>4500</v>
      </c>
      <c r="J19" s="24">
        <v>12800</v>
      </c>
      <c r="K19" s="24">
        <v>29100</v>
      </c>
    </row>
    <row r="20" spans="1:11">
      <c r="A20" s="23">
        <v>44469</v>
      </c>
      <c r="B20" s="23" t="s">
        <v>76</v>
      </c>
      <c r="C20" s="24">
        <v>243400</v>
      </c>
      <c r="D20" s="24">
        <v>147900</v>
      </c>
      <c r="E20" s="24">
        <v>95500</v>
      </c>
      <c r="F20" s="24">
        <v>75200</v>
      </c>
      <c r="G20" s="24">
        <v>5400</v>
      </c>
      <c r="H20" s="24">
        <v>60100</v>
      </c>
      <c r="I20" s="24">
        <v>4400</v>
      </c>
      <c r="J20" s="24">
        <v>5300</v>
      </c>
      <c r="K20" s="24">
        <v>20300</v>
      </c>
    </row>
    <row r="21" spans="1:11">
      <c r="A21" s="23">
        <v>44561</v>
      </c>
      <c r="B21" s="23" t="s">
        <v>77</v>
      </c>
      <c r="C21" s="24">
        <v>270100</v>
      </c>
      <c r="D21" s="24">
        <v>169200</v>
      </c>
      <c r="E21" s="24">
        <v>100900</v>
      </c>
      <c r="F21" s="24">
        <v>89300</v>
      </c>
      <c r="G21" s="24">
        <v>6800</v>
      </c>
      <c r="H21" s="24">
        <v>63800</v>
      </c>
      <c r="I21" s="24">
        <v>4800</v>
      </c>
      <c r="J21" s="24">
        <v>13900</v>
      </c>
      <c r="K21" s="24">
        <v>11600</v>
      </c>
    </row>
    <row r="22" spans="1:11">
      <c r="A22" s="23">
        <v>44651</v>
      </c>
      <c r="B22" s="23" t="s">
        <v>78</v>
      </c>
      <c r="C22" s="24">
        <v>277960</v>
      </c>
      <c r="D22" s="24">
        <v>183700</v>
      </c>
      <c r="E22" s="24">
        <v>94260</v>
      </c>
      <c r="F22" s="24">
        <v>74600</v>
      </c>
      <c r="G22" s="24">
        <v>4500</v>
      </c>
      <c r="H22" s="24">
        <v>60400</v>
      </c>
      <c r="I22" s="24">
        <v>4600</v>
      </c>
      <c r="J22" s="24">
        <v>5100</v>
      </c>
      <c r="K22" s="24">
        <v>19660</v>
      </c>
    </row>
    <row r="23" spans="1:11">
      <c r="A23" s="23">
        <v>44742</v>
      </c>
      <c r="B23" s="23" t="s">
        <v>79</v>
      </c>
      <c r="C23" s="24">
        <v>370370</v>
      </c>
      <c r="D23" s="24">
        <v>250360</v>
      </c>
      <c r="E23" s="24">
        <v>120010</v>
      </c>
      <c r="F23" s="24">
        <v>93600</v>
      </c>
      <c r="G23" s="24">
        <v>8100</v>
      </c>
      <c r="H23" s="24">
        <v>65400</v>
      </c>
      <c r="I23" s="24">
        <v>4900</v>
      </c>
      <c r="J23" s="24">
        <v>15200</v>
      </c>
      <c r="K23" s="24">
        <v>26410</v>
      </c>
    </row>
    <row r="24" spans="1:11">
      <c r="A24" s="23">
        <v>44834</v>
      </c>
      <c r="B24" s="23" t="s">
        <v>80</v>
      </c>
      <c r="C24" s="24">
        <v>301870</v>
      </c>
      <c r="D24" s="24">
        <v>229020</v>
      </c>
      <c r="E24" s="24">
        <v>82550</v>
      </c>
      <c r="F24" s="24">
        <v>77700</v>
      </c>
      <c r="G24" s="24">
        <v>6500</v>
      </c>
      <c r="H24" s="24">
        <v>61200</v>
      </c>
      <c r="I24" s="24">
        <v>4700</v>
      </c>
      <c r="J24" s="24">
        <v>5300</v>
      </c>
      <c r="K24" s="24">
        <v>4850</v>
      </c>
    </row>
    <row r="25" spans="1:11">
      <c r="A25" s="23">
        <v>44926</v>
      </c>
      <c r="B25" s="23" t="s">
        <v>81</v>
      </c>
      <c r="C25" s="24">
        <v>318000</v>
      </c>
      <c r="D25" s="24">
        <v>205100</v>
      </c>
      <c r="E25" s="24">
        <v>112900</v>
      </c>
      <c r="F25" s="24">
        <v>96800</v>
      </c>
      <c r="G25" s="24">
        <v>8800</v>
      </c>
      <c r="H25" s="24">
        <v>65500</v>
      </c>
      <c r="I25" s="24">
        <v>5400</v>
      </c>
      <c r="J25" s="24">
        <v>17100</v>
      </c>
      <c r="K25" s="24">
        <v>16100</v>
      </c>
    </row>
    <row r="26" spans="1:11">
      <c r="A26" s="23">
        <v>45016</v>
      </c>
      <c r="B26" s="23" t="s">
        <v>82</v>
      </c>
      <c r="C26" s="24">
        <v>280940</v>
      </c>
      <c r="D26" s="24">
        <v>178610</v>
      </c>
      <c r="E26" s="24">
        <v>102330</v>
      </c>
      <c r="F26" s="24">
        <v>79430</v>
      </c>
      <c r="G26" s="24">
        <v>5400</v>
      </c>
      <c r="H26" s="24">
        <v>63200</v>
      </c>
      <c r="I26" s="24">
        <v>5200</v>
      </c>
      <c r="J26" s="24">
        <v>5630</v>
      </c>
      <c r="K26" s="24">
        <v>22900</v>
      </c>
    </row>
    <row r="27" spans="1:11">
      <c r="A27" s="23">
        <v>45107</v>
      </c>
      <c r="B27" s="23" t="s">
        <v>83</v>
      </c>
      <c r="C27" s="24">
        <v>314820</v>
      </c>
      <c r="D27" s="24">
        <v>179740</v>
      </c>
      <c r="E27" s="24">
        <v>135080</v>
      </c>
      <c r="F27" s="24">
        <v>101800</v>
      </c>
      <c r="G27" s="24">
        <v>7900</v>
      </c>
      <c r="H27" s="24">
        <v>66100</v>
      </c>
      <c r="I27" s="24">
        <v>5200</v>
      </c>
      <c r="J27" s="24">
        <v>22600</v>
      </c>
      <c r="K27" s="24">
        <v>33280</v>
      </c>
    </row>
    <row r="28" spans="1:11">
      <c r="A28" s="23">
        <v>45199</v>
      </c>
      <c r="B28" s="23" t="s">
        <v>84</v>
      </c>
      <c r="C28" s="24">
        <v>258540</v>
      </c>
      <c r="D28" s="24">
        <v>147000</v>
      </c>
      <c r="E28" s="24">
        <v>111540</v>
      </c>
      <c r="F28" s="24">
        <v>84140</v>
      </c>
      <c r="G28" s="24">
        <v>6400</v>
      </c>
      <c r="H28" s="24">
        <v>64900</v>
      </c>
      <c r="I28" s="24">
        <v>6000</v>
      </c>
      <c r="J28" s="24">
        <v>6840</v>
      </c>
      <c r="K28" s="24">
        <v>27400</v>
      </c>
    </row>
    <row r="29" spans="1:11">
      <c r="A29" s="23">
        <v>45291</v>
      </c>
      <c r="B29" s="23" t="s">
        <v>85</v>
      </c>
      <c r="C29" s="24">
        <v>357980</v>
      </c>
      <c r="D29" s="24">
        <v>249200</v>
      </c>
      <c r="E29" s="24">
        <v>108780</v>
      </c>
      <c r="F29" s="24">
        <v>91680</v>
      </c>
      <c r="G29" s="24">
        <v>18900</v>
      </c>
      <c r="H29" s="24">
        <v>68300</v>
      </c>
      <c r="I29" s="24">
        <v>5700</v>
      </c>
      <c r="J29" s="24">
        <v>-1220</v>
      </c>
      <c r="K29" s="24">
        <v>17100</v>
      </c>
    </row>
    <row r="30" spans="1:11">
      <c r="A30" s="23">
        <v>45382</v>
      </c>
      <c r="B30" s="23" t="s">
        <v>86</v>
      </c>
      <c r="C30" s="24">
        <v>293430</v>
      </c>
      <c r="D30" s="24">
        <v>181920</v>
      </c>
      <c r="E30" s="24">
        <v>111512</v>
      </c>
      <c r="F30" s="24">
        <v>86171</v>
      </c>
      <c r="G30" s="24">
        <v>6545</v>
      </c>
      <c r="H30" s="24">
        <v>69903</v>
      </c>
      <c r="I30" s="24">
        <v>6033</v>
      </c>
      <c r="J30" s="24">
        <v>3690</v>
      </c>
      <c r="K30" s="24">
        <v>25341</v>
      </c>
    </row>
    <row r="31" spans="1:11">
      <c r="A31" s="23">
        <v>45473</v>
      </c>
      <c r="B31" s="23" t="s">
        <v>87</v>
      </c>
      <c r="C31" s="24">
        <v>353590</v>
      </c>
      <c r="D31" s="24">
        <v>212990</v>
      </c>
      <c r="E31" s="24">
        <v>140600</v>
      </c>
      <c r="F31" s="24">
        <v>113000</v>
      </c>
      <c r="G31" s="24">
        <v>12900</v>
      </c>
      <c r="H31" s="24">
        <v>70100</v>
      </c>
      <c r="I31" s="24">
        <v>5500</v>
      </c>
      <c r="J31" s="24">
        <v>24500</v>
      </c>
      <c r="K31" s="24">
        <v>27600</v>
      </c>
    </row>
    <row r="32" spans="1:11">
      <c r="A32" s="23">
        <v>45565</v>
      </c>
      <c r="B32" s="23" t="s">
        <v>88</v>
      </c>
      <c r="C32" s="24">
        <v>309210</v>
      </c>
      <c r="D32" s="24">
        <v>190870</v>
      </c>
      <c r="E32" s="24">
        <v>118340</v>
      </c>
      <c r="F32" s="24">
        <v>90640</v>
      </c>
      <c r="G32" s="24">
        <v>6040</v>
      </c>
      <c r="H32" s="24">
        <v>73900</v>
      </c>
      <c r="I32" s="24">
        <v>5400</v>
      </c>
      <c r="J32" s="24">
        <v>5300</v>
      </c>
      <c r="K32" s="24">
        <v>27700</v>
      </c>
    </row>
    <row r="33" spans="1:11">
      <c r="A33" s="23">
        <v>45657</v>
      </c>
      <c r="B33" s="23" t="s">
        <v>89</v>
      </c>
      <c r="C33" s="24">
        <v>302860</v>
      </c>
      <c r="D33" s="24">
        <v>170840</v>
      </c>
      <c r="E33" s="24">
        <v>132020</v>
      </c>
      <c r="F33" s="24">
        <v>90700</v>
      </c>
      <c r="G33" s="24">
        <v>6100</v>
      </c>
      <c r="H33" s="24">
        <v>74900</v>
      </c>
      <c r="I33" s="24">
        <v>7600</v>
      </c>
      <c r="J33" s="24">
        <v>2100</v>
      </c>
      <c r="K33" s="24">
        <v>41320</v>
      </c>
    </row>
    <row r="34" spans="1:11">
      <c r="A34" s="23">
        <v>45747</v>
      </c>
      <c r="B34" s="23" t="s">
        <v>90</v>
      </c>
      <c r="C34" s="24">
        <v>263600</v>
      </c>
      <c r="D34" s="24">
        <v>149810</v>
      </c>
      <c r="E34" s="24">
        <v>113806</v>
      </c>
      <c r="F34" s="24">
        <v>88400</v>
      </c>
      <c r="G34" s="24">
        <v>6698</v>
      </c>
      <c r="H34" s="24">
        <v>71561</v>
      </c>
      <c r="I34" s="24">
        <v>5558</v>
      </c>
      <c r="J34" s="24">
        <v>4583</v>
      </c>
      <c r="K34" s="24">
        <v>25406</v>
      </c>
    </row>
    <row r="35" spans="1:11">
      <c r="A35" s="23">
        <v>45838</v>
      </c>
      <c r="B35" s="23" t="s">
        <v>91</v>
      </c>
      <c r="C35" s="24">
        <v>301600</v>
      </c>
      <c r="D35" s="24">
        <v>151734</v>
      </c>
      <c r="E35" s="24">
        <v>149861</v>
      </c>
      <c r="F35" s="24">
        <v>120993</v>
      </c>
      <c r="G35" s="24">
        <v>13729</v>
      </c>
      <c r="H35" s="24">
        <v>74950</v>
      </c>
      <c r="I35" s="24">
        <v>6323</v>
      </c>
      <c r="J35" s="24">
        <v>25991</v>
      </c>
      <c r="K35" s="24">
        <v>28868</v>
      </c>
    </row>
    <row r="36" spans="1:11">
      <c r="A36" s="23">
        <v>45930</v>
      </c>
      <c r="B36" s="23" t="s">
        <v>92</v>
      </c>
      <c r="C36" s="24">
        <v>269900</v>
      </c>
      <c r="D36" s="24">
        <v>150816</v>
      </c>
      <c r="E36" s="24">
        <v>119059</v>
      </c>
      <c r="F36" s="24">
        <v>89755</v>
      </c>
      <c r="G36" s="24">
        <v>6662</v>
      </c>
      <c r="H36" s="24">
        <v>74330</v>
      </c>
      <c r="I36" s="24">
        <v>5694</v>
      </c>
      <c r="J36" s="24">
        <v>3069</v>
      </c>
      <c r="K36" s="24">
        <v>29304</v>
      </c>
    </row>
    <row r="37" spans="1:11">
      <c r="A37" s="23">
        <v>46022</v>
      </c>
      <c r="B37" s="24" t="s">
        <v>93</v>
      </c>
      <c r="C37" s="24">
        <v>348900</v>
      </c>
      <c r="D37" s="24">
        <v>154185</v>
      </c>
      <c r="E37" s="24">
        <v>122558</v>
      </c>
      <c r="F37" s="24">
        <v>89774</v>
      </c>
      <c r="G37" s="24">
        <v>6969</v>
      </c>
      <c r="H37" s="24">
        <v>73502</v>
      </c>
      <c r="I37" s="24">
        <v>6712</v>
      </c>
      <c r="J37" s="24">
        <v>2591</v>
      </c>
      <c r="K37" s="24">
        <v>32784</v>
      </c>
    </row>
    <row r="38" spans="1:11">
      <c r="C38" s="26"/>
      <c r="D38" s="26"/>
      <c r="E38" s="26"/>
      <c r="F38" s="26"/>
      <c r="G38" s="26"/>
      <c r="H38" s="26"/>
      <c r="I38" s="26"/>
      <c r="J38" s="26"/>
      <c r="K38" s="26"/>
    </row>
    <row r="39" spans="1:11">
      <c r="C39" s="26"/>
      <c r="D39" s="26"/>
      <c r="E39" s="26"/>
      <c r="F39" s="26"/>
      <c r="G39" s="26"/>
      <c r="H39" s="26"/>
      <c r="I39" s="26"/>
      <c r="J39" s="26"/>
      <c r="K39" s="26"/>
    </row>
    <row r="40" spans="1:11">
      <c r="C40" s="26"/>
      <c r="D40" s="26"/>
      <c r="E40" s="26"/>
      <c r="F40" s="26"/>
      <c r="G40" s="26"/>
      <c r="H40" s="26"/>
      <c r="I40" s="26"/>
      <c r="J40" s="26"/>
      <c r="K40" s="26"/>
    </row>
    <row r="41" spans="1:11">
      <c r="C41" s="26"/>
      <c r="D41" s="26"/>
      <c r="E41" s="26"/>
      <c r="F41" s="26"/>
      <c r="G41" s="26"/>
      <c r="H41" s="26"/>
      <c r="I41" s="26"/>
      <c r="J41" s="26"/>
      <c r="K41" s="26"/>
    </row>
    <row r="42" spans="1:11">
      <c r="C42" s="26"/>
      <c r="D42" s="26"/>
      <c r="E42" s="26"/>
      <c r="F42" s="26"/>
      <c r="G42" s="26"/>
      <c r="H42" s="26"/>
      <c r="I42" s="26"/>
      <c r="J42" s="26"/>
      <c r="K42" s="26"/>
    </row>
    <row r="43" spans="1:11">
      <c r="C43" s="26"/>
      <c r="D43" s="26"/>
      <c r="E43" s="26"/>
      <c r="F43" s="26"/>
      <c r="G43" s="26"/>
      <c r="H43" s="26"/>
      <c r="I43" s="26"/>
      <c r="J43" s="26"/>
      <c r="K43" s="26"/>
    </row>
    <row r="44" spans="1:11">
      <c r="C44" s="26"/>
      <c r="D44" s="26"/>
      <c r="E44" s="26"/>
      <c r="F44" s="26"/>
      <c r="G44" s="26"/>
      <c r="H44" s="26"/>
      <c r="I44" s="26"/>
      <c r="J44" s="26"/>
      <c r="K44" s="26"/>
    </row>
    <row r="45" spans="1:11">
      <c r="C45" s="26"/>
      <c r="D45" s="26"/>
      <c r="E45" s="26"/>
      <c r="F45" s="26"/>
      <c r="G45" s="26"/>
      <c r="H45" s="26"/>
      <c r="I45" s="26"/>
      <c r="J45" s="26"/>
      <c r="K45" s="26"/>
    </row>
    <row r="46" spans="1:11">
      <c r="C46" s="26"/>
      <c r="D46" s="26"/>
      <c r="E46" s="26"/>
      <c r="F46" s="26"/>
      <c r="G46" s="26"/>
      <c r="H46" s="26"/>
      <c r="I46" s="26"/>
      <c r="J46" s="26"/>
      <c r="K46" s="26"/>
    </row>
    <row r="47" spans="1:11">
      <c r="C47" s="26"/>
      <c r="D47" s="26"/>
      <c r="E47" s="26"/>
      <c r="F47" s="26"/>
      <c r="G47" s="26"/>
      <c r="H47" s="26"/>
      <c r="I47" s="26"/>
      <c r="J47" s="26"/>
      <c r="K47" s="26"/>
    </row>
    <row r="48" spans="1:11">
      <c r="C48" s="26"/>
      <c r="D48" s="26"/>
      <c r="E48" s="26"/>
      <c r="F48" s="26"/>
      <c r="G48" s="26"/>
      <c r="H48" s="26"/>
      <c r="I48" s="26"/>
      <c r="J48" s="26"/>
      <c r="K48" s="26"/>
    </row>
    <row r="49" spans="3:11">
      <c r="C49" s="26"/>
      <c r="D49" s="26"/>
      <c r="E49" s="26"/>
      <c r="F49" s="26"/>
      <c r="G49" s="26"/>
      <c r="H49" s="26"/>
      <c r="I49" s="26"/>
      <c r="J49" s="26"/>
      <c r="K49" s="26"/>
    </row>
    <row r="50" spans="3:11">
      <c r="C50" s="26"/>
      <c r="D50" s="26"/>
      <c r="E50" s="26"/>
      <c r="F50" s="26"/>
      <c r="G50" s="26"/>
      <c r="H50" s="26"/>
      <c r="I50" s="26"/>
      <c r="J50" s="26"/>
      <c r="K50" s="26"/>
    </row>
    <row r="51" spans="3:11">
      <c r="C51" s="26"/>
      <c r="D51" s="26"/>
      <c r="E51" s="26"/>
      <c r="F51" s="26"/>
      <c r="G51" s="26"/>
      <c r="H51" s="26"/>
      <c r="I51" s="26"/>
      <c r="J51" s="26"/>
      <c r="K51" s="26"/>
    </row>
    <row r="52" spans="3:11">
      <c r="C52" s="26"/>
      <c r="D52" s="26"/>
      <c r="E52" s="26"/>
      <c r="F52" s="26"/>
      <c r="G52" s="26"/>
      <c r="H52" s="26"/>
      <c r="I52" s="26"/>
      <c r="J52" s="26"/>
      <c r="K52" s="26"/>
    </row>
    <row r="53" spans="3:11">
      <c r="C53" s="26"/>
      <c r="D53" s="26"/>
      <c r="E53" s="26"/>
      <c r="F53" s="26"/>
      <c r="G53" s="26"/>
      <c r="H53" s="26"/>
      <c r="I53" s="26"/>
      <c r="J53" s="26"/>
      <c r="K53" s="26"/>
    </row>
    <row r="54" spans="3:11">
      <c r="C54" s="26"/>
      <c r="D54" s="26"/>
      <c r="E54" s="26"/>
      <c r="F54" s="26"/>
      <c r="G54" s="26"/>
      <c r="H54" s="26"/>
      <c r="I54" s="26"/>
      <c r="J54" s="26"/>
      <c r="K54" s="26"/>
    </row>
    <row r="55" spans="3:11">
      <c r="C55" s="26"/>
      <c r="D55" s="26"/>
      <c r="E55" s="26"/>
      <c r="F55" s="26"/>
      <c r="G55" s="26"/>
      <c r="H55" s="26"/>
      <c r="I55" s="26"/>
      <c r="J55" s="26"/>
      <c r="K55" s="26"/>
    </row>
    <row r="56" spans="3:11">
      <c r="C56" s="26"/>
      <c r="D56" s="26"/>
      <c r="E56" s="26"/>
      <c r="F56" s="26"/>
      <c r="G56" s="26"/>
      <c r="H56" s="26"/>
      <c r="I56" s="26"/>
      <c r="J56" s="26"/>
      <c r="K56" s="26"/>
    </row>
    <row r="57" spans="3:11">
      <c r="C57" s="26"/>
      <c r="D57" s="26"/>
      <c r="E57" s="26"/>
      <c r="F57" s="26"/>
      <c r="G57" s="26"/>
      <c r="H57" s="26"/>
      <c r="I57" s="26"/>
      <c r="J57" s="26"/>
      <c r="K57" s="26"/>
    </row>
    <row r="58" spans="3:11">
      <c r="C58" s="26"/>
      <c r="D58" s="26"/>
      <c r="E58" s="26"/>
      <c r="F58" s="26"/>
      <c r="G58" s="26"/>
      <c r="H58" s="26"/>
      <c r="I58" s="26"/>
      <c r="J58" s="26"/>
      <c r="K58" s="26"/>
    </row>
    <row r="59" spans="3:11">
      <c r="C59" s="26"/>
      <c r="D59" s="26"/>
      <c r="E59" s="26"/>
      <c r="F59" s="26"/>
      <c r="G59" s="26"/>
      <c r="H59" s="26"/>
      <c r="I59" s="26"/>
      <c r="J59" s="26"/>
      <c r="K59" s="26"/>
    </row>
    <row r="60" spans="3:11">
      <c r="C60" s="26"/>
      <c r="D60" s="26"/>
      <c r="E60" s="26"/>
      <c r="F60" s="26"/>
      <c r="G60" s="26"/>
      <c r="H60" s="26"/>
      <c r="I60" s="26"/>
      <c r="J60" s="26"/>
      <c r="K60" s="26"/>
    </row>
    <row r="61" spans="3:11">
      <c r="C61" s="26"/>
      <c r="D61" s="26"/>
      <c r="E61" s="26"/>
      <c r="F61" s="26"/>
      <c r="G61" s="26"/>
      <c r="H61" s="26"/>
      <c r="I61" s="26"/>
      <c r="J61" s="26"/>
      <c r="K61" s="26"/>
    </row>
    <row r="62" spans="3:11">
      <c r="C62" s="26"/>
      <c r="D62" s="26"/>
      <c r="E62" s="26"/>
      <c r="F62" s="26"/>
      <c r="G62" s="26"/>
      <c r="H62" s="26"/>
      <c r="I62" s="26"/>
      <c r="J62" s="26"/>
      <c r="K62" s="26"/>
    </row>
    <row r="63" spans="3:11">
      <c r="C63" s="26"/>
      <c r="D63" s="26"/>
      <c r="E63" s="26"/>
      <c r="F63" s="26"/>
      <c r="G63" s="26"/>
      <c r="H63" s="26"/>
      <c r="I63" s="26"/>
      <c r="J63" s="26"/>
      <c r="K63" s="26"/>
    </row>
    <row r="64" spans="3:11">
      <c r="C64" s="26"/>
      <c r="D64" s="26"/>
      <c r="E64" s="26"/>
      <c r="F64" s="26"/>
      <c r="G64" s="26"/>
      <c r="H64" s="26"/>
      <c r="I64" s="26"/>
      <c r="J64" s="26"/>
      <c r="K64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52F0-011C-46BB-96FC-29EFB0E6A2EA}">
  <sheetPr codeName="Sheet3">
    <tabColor rgb="FF002060"/>
  </sheetPr>
  <dimension ref="A1:K59"/>
  <sheetViews>
    <sheetView zoomScale="130" zoomScaleNormal="130" workbookViewId="0">
      <selection activeCell="C1" sqref="C1:K1"/>
    </sheetView>
  </sheetViews>
  <sheetFormatPr defaultColWidth="9.109375" defaultRowHeight="14.4"/>
  <cols>
    <col min="1" max="1" width="8.6640625" style="4" bestFit="1" customWidth="1"/>
    <col min="2" max="2" width="10.6640625" style="4" bestFit="1" customWidth="1"/>
    <col min="3" max="3" width="11.5546875" style="3" bestFit="1" customWidth="1"/>
    <col min="4" max="4" width="15.44140625" style="3" bestFit="1" customWidth="1"/>
    <col min="5" max="5" width="16.109375" style="3" bestFit="1" customWidth="1"/>
    <col min="6" max="6" width="11.88671875" style="3" bestFit="1" customWidth="1"/>
    <col min="7" max="7" width="12.109375" style="3" bestFit="1" customWidth="1"/>
    <col min="8" max="8" width="10" style="3" bestFit="1" customWidth="1"/>
    <col min="9" max="9" width="15.44140625" style="3" bestFit="1" customWidth="1"/>
    <col min="10" max="10" width="16.109375" style="3" bestFit="1" customWidth="1"/>
    <col min="11" max="11" width="10" style="3" bestFit="1" customWidth="1"/>
    <col min="12" max="16384" width="9.109375" style="3"/>
  </cols>
  <sheetData>
    <row r="1" spans="1:11">
      <c r="A1" s="22" t="s">
        <v>0</v>
      </c>
      <c r="B1" s="22" t="s">
        <v>57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14</v>
      </c>
      <c r="K1" s="22" t="s">
        <v>15</v>
      </c>
    </row>
    <row r="2" spans="1:11">
      <c r="A2" s="23">
        <v>42825</v>
      </c>
      <c r="B2" s="23" t="s">
        <v>58</v>
      </c>
      <c r="C2" s="24">
        <v>170300</v>
      </c>
      <c r="D2" s="24">
        <v>90400</v>
      </c>
      <c r="E2" s="24">
        <v>18200</v>
      </c>
      <c r="F2" s="24">
        <v>900</v>
      </c>
      <c r="G2" s="24">
        <v>1200</v>
      </c>
      <c r="H2" s="24">
        <v>120</v>
      </c>
      <c r="I2" s="24">
        <v>13400</v>
      </c>
      <c r="J2" s="24">
        <v>36780</v>
      </c>
      <c r="K2" s="24">
        <v>9300</v>
      </c>
    </row>
    <row r="3" spans="1:11">
      <c r="A3" s="23">
        <v>42916</v>
      </c>
      <c r="B3" s="23" t="s">
        <v>59</v>
      </c>
      <c r="C3" s="24">
        <v>210400</v>
      </c>
      <c r="D3" s="24">
        <v>102100</v>
      </c>
      <c r="E3" s="24">
        <v>25600</v>
      </c>
      <c r="F3" s="24">
        <v>1400</v>
      </c>
      <c r="G3" s="24">
        <v>1800</v>
      </c>
      <c r="H3" s="24">
        <v>1500</v>
      </c>
      <c r="I3" s="24">
        <v>15600</v>
      </c>
      <c r="J3" s="24">
        <v>27700</v>
      </c>
      <c r="K3" s="24">
        <v>34700</v>
      </c>
    </row>
    <row r="4" spans="1:11">
      <c r="A4" s="23">
        <v>43008</v>
      </c>
      <c r="B4" s="23" t="s">
        <v>60</v>
      </c>
      <c r="C4" s="24">
        <v>190900</v>
      </c>
      <c r="D4" s="24">
        <v>100500</v>
      </c>
      <c r="E4" s="24">
        <v>22100</v>
      </c>
      <c r="F4" s="24">
        <v>1100</v>
      </c>
      <c r="G4" s="24">
        <v>1500</v>
      </c>
      <c r="H4" s="24">
        <v>700</v>
      </c>
      <c r="I4" s="24">
        <v>14800</v>
      </c>
      <c r="J4" s="24">
        <v>25700</v>
      </c>
      <c r="K4" s="24">
        <v>24500</v>
      </c>
    </row>
    <row r="5" spans="1:11">
      <c r="A5" s="23">
        <v>43100</v>
      </c>
      <c r="B5" s="23" t="s">
        <v>61</v>
      </c>
      <c r="C5" s="24">
        <v>356400</v>
      </c>
      <c r="D5" s="24">
        <v>114200</v>
      </c>
      <c r="E5" s="24">
        <v>65300</v>
      </c>
      <c r="F5" s="24">
        <v>2700</v>
      </c>
      <c r="G5" s="24">
        <v>3900</v>
      </c>
      <c r="H5" s="24">
        <v>9100</v>
      </c>
      <c r="I5" s="24">
        <v>18500</v>
      </c>
      <c r="J5" s="24">
        <v>41700</v>
      </c>
      <c r="K5" s="24">
        <v>101000</v>
      </c>
    </row>
    <row r="6" spans="1:11">
      <c r="A6" s="23">
        <v>43190</v>
      </c>
      <c r="B6" s="23" t="s">
        <v>62</v>
      </c>
      <c r="C6" s="24">
        <v>200600</v>
      </c>
      <c r="D6" s="24">
        <v>106700</v>
      </c>
      <c r="E6" s="24">
        <v>19800</v>
      </c>
      <c r="F6" s="24">
        <v>1200</v>
      </c>
      <c r="G6" s="24">
        <v>2100</v>
      </c>
      <c r="H6" s="24">
        <v>250</v>
      </c>
      <c r="I6" s="24">
        <v>19300</v>
      </c>
      <c r="J6" s="24">
        <v>25950</v>
      </c>
      <c r="K6" s="24">
        <v>25300</v>
      </c>
    </row>
    <row r="7" spans="1:11">
      <c r="A7" s="23">
        <v>43281</v>
      </c>
      <c r="B7" s="23" t="s">
        <v>63</v>
      </c>
      <c r="C7" s="24">
        <v>281000</v>
      </c>
      <c r="D7" s="24">
        <v>120400</v>
      </c>
      <c r="E7" s="24">
        <v>45600</v>
      </c>
      <c r="F7" s="24">
        <v>1900</v>
      </c>
      <c r="G7" s="24">
        <v>3400</v>
      </c>
      <c r="H7" s="24">
        <v>500</v>
      </c>
      <c r="I7" s="24">
        <v>25400</v>
      </c>
      <c r="J7" s="24">
        <v>29900</v>
      </c>
      <c r="K7" s="24">
        <v>53900</v>
      </c>
    </row>
    <row r="8" spans="1:11">
      <c r="A8" s="23">
        <v>43373</v>
      </c>
      <c r="B8" s="23" t="s">
        <v>64</v>
      </c>
      <c r="C8" s="24">
        <v>230500</v>
      </c>
      <c r="D8" s="24">
        <v>115200</v>
      </c>
      <c r="E8" s="24">
        <v>30100</v>
      </c>
      <c r="F8" s="24">
        <v>1500</v>
      </c>
      <c r="G8" s="24">
        <v>2800</v>
      </c>
      <c r="H8" s="24">
        <v>2100</v>
      </c>
      <c r="I8" s="24">
        <v>19400</v>
      </c>
      <c r="J8" s="24">
        <v>13100</v>
      </c>
      <c r="K8" s="24">
        <v>46300</v>
      </c>
    </row>
    <row r="9" spans="1:11">
      <c r="A9" s="23">
        <v>43465</v>
      </c>
      <c r="B9" s="23" t="s">
        <v>65</v>
      </c>
      <c r="C9" s="24">
        <v>318000</v>
      </c>
      <c r="D9" s="24">
        <v>126100</v>
      </c>
      <c r="E9" s="24">
        <v>46800</v>
      </c>
      <c r="F9" s="24">
        <v>2100</v>
      </c>
      <c r="G9" s="24">
        <v>4200</v>
      </c>
      <c r="H9" s="24">
        <v>2450</v>
      </c>
      <c r="I9" s="24">
        <v>26500</v>
      </c>
      <c r="J9" s="24">
        <v>39850</v>
      </c>
      <c r="K9" s="24">
        <v>70000</v>
      </c>
    </row>
    <row r="10" spans="1:11">
      <c r="A10" s="23">
        <v>43555</v>
      </c>
      <c r="B10" s="23" t="s">
        <v>66</v>
      </c>
      <c r="C10" s="24">
        <v>217600</v>
      </c>
      <c r="D10" s="24">
        <v>121500</v>
      </c>
      <c r="E10" s="24">
        <v>22400</v>
      </c>
      <c r="F10" s="24">
        <v>1800</v>
      </c>
      <c r="G10" s="24">
        <v>3100</v>
      </c>
      <c r="H10" s="24">
        <v>300</v>
      </c>
      <c r="I10" s="24">
        <v>18900</v>
      </c>
      <c r="J10" s="24">
        <v>27900</v>
      </c>
      <c r="K10" s="24">
        <v>21700</v>
      </c>
    </row>
    <row r="11" spans="1:11">
      <c r="A11" s="23">
        <v>43646</v>
      </c>
      <c r="B11" s="23" t="s">
        <v>67</v>
      </c>
      <c r="C11" s="24">
        <v>267200</v>
      </c>
      <c r="D11" s="24">
        <v>125400</v>
      </c>
      <c r="E11" s="24">
        <v>43200</v>
      </c>
      <c r="F11" s="24">
        <v>2400</v>
      </c>
      <c r="G11" s="24">
        <v>5200</v>
      </c>
      <c r="H11" s="24">
        <v>1000</v>
      </c>
      <c r="I11" s="24">
        <v>22100</v>
      </c>
      <c r="J11" s="24">
        <v>19100</v>
      </c>
      <c r="K11" s="24">
        <v>48800</v>
      </c>
    </row>
    <row r="12" spans="1:11">
      <c r="A12" s="23">
        <v>43738</v>
      </c>
      <c r="B12" s="23" t="s">
        <v>68</v>
      </c>
      <c r="C12" s="24">
        <v>203600</v>
      </c>
      <c r="D12" s="24">
        <v>118600</v>
      </c>
      <c r="E12" s="24">
        <v>25100</v>
      </c>
      <c r="F12" s="24">
        <v>2100</v>
      </c>
      <c r="G12" s="24">
        <v>4500</v>
      </c>
      <c r="H12" s="24">
        <v>600</v>
      </c>
      <c r="I12" s="24">
        <v>17400</v>
      </c>
      <c r="J12" s="24">
        <v>16700</v>
      </c>
      <c r="K12" s="24">
        <v>18600</v>
      </c>
    </row>
    <row r="13" spans="1:11">
      <c r="A13" s="23">
        <v>43830</v>
      </c>
      <c r="B13" s="23" t="s">
        <v>69</v>
      </c>
      <c r="C13" s="24">
        <v>371400</v>
      </c>
      <c r="D13" s="24">
        <v>129500</v>
      </c>
      <c r="E13" s="24">
        <v>85400</v>
      </c>
      <c r="F13" s="24">
        <v>3400</v>
      </c>
      <c r="G13" s="24">
        <v>8200</v>
      </c>
      <c r="H13" s="24">
        <v>5400</v>
      </c>
      <c r="I13" s="24">
        <v>25600</v>
      </c>
      <c r="J13" s="24">
        <v>31200</v>
      </c>
      <c r="K13" s="24">
        <v>82700</v>
      </c>
    </row>
    <row r="14" spans="1:11">
      <c r="A14" s="23">
        <v>43921</v>
      </c>
      <c r="B14" s="23" t="s">
        <v>70</v>
      </c>
      <c r="C14" s="24">
        <v>226200</v>
      </c>
      <c r="D14" s="24">
        <v>122800</v>
      </c>
      <c r="E14" s="24">
        <v>34200</v>
      </c>
      <c r="F14" s="24">
        <v>3200</v>
      </c>
      <c r="G14" s="24">
        <v>5400</v>
      </c>
      <c r="H14" s="24">
        <v>200</v>
      </c>
      <c r="I14" s="24">
        <v>18200</v>
      </c>
      <c r="J14" s="24">
        <v>21500</v>
      </c>
      <c r="K14" s="24">
        <v>20700</v>
      </c>
    </row>
    <row r="15" spans="1:11">
      <c r="A15" s="23">
        <v>44012</v>
      </c>
      <c r="B15" s="23" t="s">
        <v>71</v>
      </c>
      <c r="C15" s="24">
        <v>243200</v>
      </c>
      <c r="D15" s="24">
        <v>124100</v>
      </c>
      <c r="E15" s="24">
        <v>41500</v>
      </c>
      <c r="F15" s="24">
        <v>3800</v>
      </c>
      <c r="G15" s="24">
        <v>6100</v>
      </c>
      <c r="H15" s="24">
        <v>4000</v>
      </c>
      <c r="I15" s="24">
        <v>22400</v>
      </c>
      <c r="J15" s="24">
        <v>9400</v>
      </c>
      <c r="K15" s="24">
        <v>31900</v>
      </c>
    </row>
    <row r="16" spans="1:11">
      <c r="A16" s="23">
        <v>44104</v>
      </c>
      <c r="B16" s="23" t="s">
        <v>72</v>
      </c>
      <c r="C16" s="24">
        <v>256300</v>
      </c>
      <c r="D16" s="24">
        <v>123400</v>
      </c>
      <c r="E16" s="24">
        <v>52100</v>
      </c>
      <c r="F16" s="24">
        <v>4200</v>
      </c>
      <c r="G16" s="24">
        <v>7500</v>
      </c>
      <c r="H16" s="24">
        <v>150</v>
      </c>
      <c r="I16" s="24">
        <v>18900</v>
      </c>
      <c r="J16" s="24">
        <v>21150</v>
      </c>
      <c r="K16" s="24">
        <v>28900</v>
      </c>
    </row>
    <row r="17" spans="1:11">
      <c r="A17" s="23">
        <v>44196</v>
      </c>
      <c r="B17" s="23" t="s">
        <v>73</v>
      </c>
      <c r="C17" s="24">
        <v>351000</v>
      </c>
      <c r="D17" s="24">
        <v>133500</v>
      </c>
      <c r="E17" s="24">
        <v>78400</v>
      </c>
      <c r="F17" s="24">
        <v>5100</v>
      </c>
      <c r="G17" s="24">
        <v>8500</v>
      </c>
      <c r="H17" s="24">
        <v>5100</v>
      </c>
      <c r="I17" s="24">
        <v>25600</v>
      </c>
      <c r="J17" s="24">
        <v>26600</v>
      </c>
      <c r="K17" s="24">
        <v>68200</v>
      </c>
    </row>
    <row r="18" spans="1:11">
      <c r="A18" s="23">
        <v>44286</v>
      </c>
      <c r="B18" s="23" t="s">
        <v>74</v>
      </c>
      <c r="C18" s="24">
        <v>212200</v>
      </c>
      <c r="D18" s="24">
        <v>126400</v>
      </c>
      <c r="E18" s="24">
        <v>21400</v>
      </c>
      <c r="F18" s="24">
        <v>4400</v>
      </c>
      <c r="G18" s="24">
        <v>6500</v>
      </c>
      <c r="H18" s="24">
        <v>120</v>
      </c>
      <c r="I18" s="24">
        <v>14200</v>
      </c>
      <c r="J18" s="24">
        <v>12880</v>
      </c>
      <c r="K18" s="24">
        <v>26300</v>
      </c>
    </row>
    <row r="19" spans="1:11">
      <c r="A19" s="23">
        <v>44377</v>
      </c>
      <c r="B19" s="23" t="s">
        <v>75</v>
      </c>
      <c r="C19" s="24">
        <v>252700</v>
      </c>
      <c r="D19" s="24">
        <v>130500</v>
      </c>
      <c r="E19" s="24">
        <v>34200</v>
      </c>
      <c r="F19" s="24">
        <v>5200</v>
      </c>
      <c r="G19" s="24">
        <v>7100</v>
      </c>
      <c r="H19" s="24">
        <v>850</v>
      </c>
      <c r="I19" s="24">
        <v>22400</v>
      </c>
      <c r="J19" s="24">
        <v>19850</v>
      </c>
      <c r="K19" s="24">
        <v>32600</v>
      </c>
    </row>
    <row r="20" spans="1:11">
      <c r="A20" s="23">
        <v>44469</v>
      </c>
      <c r="B20" s="23" t="s">
        <v>76</v>
      </c>
      <c r="C20" s="24">
        <v>236700</v>
      </c>
      <c r="D20" s="24">
        <v>127100</v>
      </c>
      <c r="E20" s="24">
        <v>30500</v>
      </c>
      <c r="F20" s="24">
        <v>4800</v>
      </c>
      <c r="G20" s="24">
        <v>8200</v>
      </c>
      <c r="H20" s="24">
        <v>600</v>
      </c>
      <c r="I20" s="24">
        <v>19300</v>
      </c>
      <c r="J20" s="24">
        <v>15600</v>
      </c>
      <c r="K20" s="24">
        <v>30600</v>
      </c>
    </row>
    <row r="21" spans="1:11">
      <c r="A21" s="23">
        <v>44561</v>
      </c>
      <c r="B21" s="23" t="s">
        <v>77</v>
      </c>
      <c r="C21" s="24">
        <v>338100</v>
      </c>
      <c r="D21" s="24">
        <v>138400</v>
      </c>
      <c r="E21" s="24">
        <v>68400</v>
      </c>
      <c r="F21" s="24">
        <v>6500</v>
      </c>
      <c r="G21" s="24">
        <v>10200</v>
      </c>
      <c r="H21" s="24">
        <v>3500</v>
      </c>
      <c r="I21" s="24">
        <v>26500</v>
      </c>
      <c r="J21" s="24">
        <v>23600</v>
      </c>
      <c r="K21" s="24">
        <v>61000</v>
      </c>
    </row>
    <row r="22" spans="1:11">
      <c r="A22" s="23">
        <v>44651</v>
      </c>
      <c r="B22" s="23" t="s">
        <v>78</v>
      </c>
      <c r="C22" s="24">
        <v>220470</v>
      </c>
      <c r="D22" s="24">
        <v>125500</v>
      </c>
      <c r="E22" s="24">
        <v>25400</v>
      </c>
      <c r="F22" s="24">
        <v>4100</v>
      </c>
      <c r="G22" s="24">
        <v>5800</v>
      </c>
      <c r="H22" s="24">
        <v>50</v>
      </c>
      <c r="I22" s="24">
        <v>14200</v>
      </c>
      <c r="J22" s="24">
        <v>7450</v>
      </c>
      <c r="K22" s="24">
        <v>37970</v>
      </c>
    </row>
    <row r="23" spans="1:11">
      <c r="A23" s="23">
        <v>44742</v>
      </c>
      <c r="B23" s="23" t="s">
        <v>79</v>
      </c>
      <c r="C23" s="24">
        <v>292460</v>
      </c>
      <c r="D23" s="24">
        <v>132100</v>
      </c>
      <c r="E23" s="24">
        <v>54200</v>
      </c>
      <c r="F23" s="24">
        <v>6400</v>
      </c>
      <c r="G23" s="24">
        <v>9400</v>
      </c>
      <c r="H23" s="24">
        <v>1900</v>
      </c>
      <c r="I23" s="24">
        <v>21500</v>
      </c>
      <c r="J23" s="24">
        <v>19060</v>
      </c>
      <c r="K23" s="24">
        <v>47900</v>
      </c>
    </row>
    <row r="24" spans="1:11">
      <c r="A24" s="23">
        <v>44834</v>
      </c>
      <c r="B24" s="23" t="s">
        <v>80</v>
      </c>
      <c r="C24" s="24">
        <v>287720</v>
      </c>
      <c r="D24" s="24">
        <v>130400</v>
      </c>
      <c r="E24" s="24">
        <v>48600</v>
      </c>
      <c r="F24" s="24">
        <v>6100</v>
      </c>
      <c r="G24" s="24">
        <v>11200</v>
      </c>
      <c r="H24" s="24">
        <v>150</v>
      </c>
      <c r="I24" s="24">
        <v>18400</v>
      </c>
      <c r="J24" s="24">
        <v>20770</v>
      </c>
      <c r="K24" s="24">
        <v>52100</v>
      </c>
    </row>
    <row r="25" spans="1:11">
      <c r="A25" s="23">
        <v>44926</v>
      </c>
      <c r="B25" s="23" t="s">
        <v>81</v>
      </c>
      <c r="C25" s="24">
        <v>363700</v>
      </c>
      <c r="D25" s="24">
        <v>140500</v>
      </c>
      <c r="E25" s="24">
        <v>85200</v>
      </c>
      <c r="F25" s="24">
        <v>8100</v>
      </c>
      <c r="G25" s="24">
        <v>14500</v>
      </c>
      <c r="H25" s="24">
        <v>5300</v>
      </c>
      <c r="I25" s="24">
        <v>24600</v>
      </c>
      <c r="J25" s="24">
        <v>12900</v>
      </c>
      <c r="K25" s="24">
        <v>72600</v>
      </c>
    </row>
    <row r="26" spans="1:11">
      <c r="A26" s="23">
        <v>45016</v>
      </c>
      <c r="B26" s="23" t="s">
        <v>82</v>
      </c>
      <c r="C26" s="24">
        <v>283860</v>
      </c>
      <c r="D26" s="24">
        <v>134200</v>
      </c>
      <c r="E26" s="24">
        <v>56400</v>
      </c>
      <c r="F26" s="24">
        <v>6400</v>
      </c>
      <c r="G26" s="24">
        <v>8100</v>
      </c>
      <c r="H26" s="24">
        <v>504</v>
      </c>
      <c r="I26" s="24">
        <v>22100</v>
      </c>
      <c r="J26" s="24">
        <v>30056</v>
      </c>
      <c r="K26" s="24">
        <v>26100</v>
      </c>
    </row>
    <row r="27" spans="1:11">
      <c r="A27" s="23">
        <v>45107</v>
      </c>
      <c r="B27" s="23" t="s">
        <v>83</v>
      </c>
      <c r="C27" s="24">
        <v>320100</v>
      </c>
      <c r="D27" s="24">
        <v>137400</v>
      </c>
      <c r="E27" s="24">
        <v>60200</v>
      </c>
      <c r="F27" s="24">
        <v>7200</v>
      </c>
      <c r="G27" s="24">
        <v>9400</v>
      </c>
      <c r="H27" s="24">
        <v>2734</v>
      </c>
      <c r="I27" s="24">
        <v>24300</v>
      </c>
      <c r="J27" s="24">
        <v>32766</v>
      </c>
      <c r="K27" s="24">
        <v>46100</v>
      </c>
    </row>
    <row r="28" spans="1:11">
      <c r="A28" s="23">
        <v>45199</v>
      </c>
      <c r="B28" s="23" t="s">
        <v>84</v>
      </c>
      <c r="C28" s="24">
        <v>294330</v>
      </c>
      <c r="D28" s="24">
        <v>133500</v>
      </c>
      <c r="E28" s="24">
        <v>48100</v>
      </c>
      <c r="F28" s="24">
        <v>7000</v>
      </c>
      <c r="G28" s="24">
        <v>12300</v>
      </c>
      <c r="H28" s="24">
        <v>1098</v>
      </c>
      <c r="I28" s="24">
        <v>21500</v>
      </c>
      <c r="J28" s="24">
        <v>19532</v>
      </c>
      <c r="K28" s="24">
        <v>51300</v>
      </c>
    </row>
    <row r="29" spans="1:11">
      <c r="A29" s="23">
        <v>45291</v>
      </c>
      <c r="B29" s="23" t="s">
        <v>85</v>
      </c>
      <c r="C29" s="24">
        <v>394950</v>
      </c>
      <c r="D29" s="24">
        <v>151200</v>
      </c>
      <c r="E29" s="24">
        <v>112400</v>
      </c>
      <c r="F29" s="24">
        <v>9800</v>
      </c>
      <c r="G29" s="24">
        <v>11400</v>
      </c>
      <c r="H29" s="24">
        <v>2456</v>
      </c>
      <c r="I29" s="24">
        <v>27450</v>
      </c>
      <c r="J29" s="24">
        <v>17244</v>
      </c>
      <c r="K29" s="24">
        <v>63000</v>
      </c>
    </row>
    <row r="30" spans="1:11">
      <c r="A30" s="23">
        <v>45382</v>
      </c>
      <c r="B30" s="23" t="s">
        <v>86</v>
      </c>
      <c r="C30" s="24">
        <v>305820</v>
      </c>
      <c r="D30" s="24">
        <v>137503</v>
      </c>
      <c r="E30" s="24">
        <v>60704</v>
      </c>
      <c r="F30" s="24">
        <v>10069</v>
      </c>
      <c r="G30" s="24">
        <v>8329</v>
      </c>
      <c r="H30" s="24">
        <v>315</v>
      </c>
      <c r="I30" s="24">
        <v>23847</v>
      </c>
      <c r="J30" s="24">
        <v>30550</v>
      </c>
      <c r="K30" s="24">
        <v>34503</v>
      </c>
    </row>
    <row r="31" spans="1:11">
      <c r="A31" s="23">
        <v>45473</v>
      </c>
      <c r="B31" s="23" t="s">
        <v>87</v>
      </c>
      <c r="C31" s="24">
        <v>368930</v>
      </c>
      <c r="D31" s="24">
        <v>139845</v>
      </c>
      <c r="E31" s="24">
        <v>75561</v>
      </c>
      <c r="F31" s="24">
        <v>10784</v>
      </c>
      <c r="G31" s="24">
        <v>12977</v>
      </c>
      <c r="H31" s="24">
        <v>1380</v>
      </c>
      <c r="I31" s="24">
        <v>39209</v>
      </c>
      <c r="J31" s="24">
        <v>24217</v>
      </c>
      <c r="K31" s="24">
        <v>64957</v>
      </c>
    </row>
    <row r="32" spans="1:11">
      <c r="A32" s="23">
        <v>45565</v>
      </c>
      <c r="B32" s="23" t="s">
        <v>88</v>
      </c>
      <c r="C32" s="24">
        <v>339440</v>
      </c>
      <c r="D32" s="24">
        <v>138627</v>
      </c>
      <c r="E32" s="24">
        <v>82694</v>
      </c>
      <c r="F32" s="24">
        <v>11965</v>
      </c>
      <c r="G32" s="24">
        <v>7438</v>
      </c>
      <c r="H32" s="24">
        <v>729</v>
      </c>
      <c r="I32" s="24">
        <v>21130</v>
      </c>
      <c r="J32" s="24">
        <v>28707</v>
      </c>
      <c r="K32" s="24">
        <v>48150</v>
      </c>
    </row>
    <row r="33" spans="1:11">
      <c r="A33" s="23">
        <v>45657</v>
      </c>
      <c r="B33" s="23" t="s">
        <v>89</v>
      </c>
      <c r="C33" s="24">
        <v>360520</v>
      </c>
      <c r="D33" s="24">
        <v>146289</v>
      </c>
      <c r="E33" s="24">
        <v>94064</v>
      </c>
      <c r="F33" s="24">
        <v>11746</v>
      </c>
      <c r="G33" s="24">
        <v>5267</v>
      </c>
      <c r="H33" s="24">
        <v>1782</v>
      </c>
      <c r="I33" s="24">
        <v>17213</v>
      </c>
      <c r="J33" s="24">
        <v>41105</v>
      </c>
      <c r="K33" s="24">
        <v>43054</v>
      </c>
    </row>
    <row r="34" spans="1:11">
      <c r="A34" s="23">
        <v>45747</v>
      </c>
      <c r="B34" s="23" t="s">
        <v>90</v>
      </c>
      <c r="C34" s="24">
        <v>322317</v>
      </c>
      <c r="D34" s="24">
        <v>83974.114076019992</v>
      </c>
      <c r="E34" s="24">
        <v>15211.479636010001</v>
      </c>
      <c r="F34" s="24">
        <v>13787.088842540001</v>
      </c>
      <c r="G34" s="24">
        <v>319.42947220999986</v>
      </c>
      <c r="H34" s="24">
        <v>16551.240588019995</v>
      </c>
      <c r="I34" s="24">
        <v>35075.618675319995</v>
      </c>
      <c r="J34" s="24">
        <v>49912.504107230008</v>
      </c>
      <c r="K34" s="24">
        <v>50905.632054339978</v>
      </c>
    </row>
    <row r="35" spans="1:11">
      <c r="A35" s="23">
        <v>45838</v>
      </c>
      <c r="B35" s="23" t="s">
        <v>91</v>
      </c>
      <c r="C35" s="24">
        <v>336129</v>
      </c>
      <c r="D35" s="24">
        <v>73580.489624349997</v>
      </c>
      <c r="E35" s="24">
        <v>11940.639316690002</v>
      </c>
      <c r="F35" s="24">
        <v>7688.0948017700002</v>
      </c>
      <c r="G35" s="24">
        <v>414.8884799600001</v>
      </c>
      <c r="H35" s="24">
        <v>39167.642700590004</v>
      </c>
      <c r="I35" s="24">
        <v>23025.798986159993</v>
      </c>
      <c r="J35" s="24">
        <v>39909.473640320008</v>
      </c>
      <c r="K35" s="24">
        <v>49912.504107230008</v>
      </c>
    </row>
    <row r="36" spans="1:11">
      <c r="A36" s="23">
        <v>45930</v>
      </c>
      <c r="B36" s="23" t="s">
        <v>92</v>
      </c>
      <c r="C36" s="24">
        <v>358397</v>
      </c>
      <c r="D36" s="24">
        <v>64633.209316070002</v>
      </c>
      <c r="E36" s="24">
        <v>12387.83277542</v>
      </c>
      <c r="F36" s="24">
        <v>6492.3326608199995</v>
      </c>
      <c r="G36" s="24">
        <v>273.78199999999998</v>
      </c>
      <c r="H36" s="24">
        <v>30474.009797269999</v>
      </c>
      <c r="I36" s="24">
        <v>34180.298066390002</v>
      </c>
      <c r="J36" s="24">
        <v>27785.7050528</v>
      </c>
      <c r="K36" s="24">
        <v>39909.473640320008</v>
      </c>
    </row>
    <row r="37" spans="1:11">
      <c r="A37" s="23">
        <v>46022</v>
      </c>
      <c r="B37" s="23"/>
      <c r="C37" s="24">
        <v>371589.12513351016</v>
      </c>
      <c r="D37" s="24">
        <v>94156.569556760049</v>
      </c>
      <c r="E37" s="24">
        <v>14933.627058899998</v>
      </c>
      <c r="F37" s="24">
        <v>7941.5471296299984</v>
      </c>
      <c r="G37" s="24">
        <v>4177.3360149199998</v>
      </c>
      <c r="H37" s="24">
        <v>13130.763142570009</v>
      </c>
      <c r="I37" s="24">
        <v>41874.100595600015</v>
      </c>
      <c r="J37" s="24">
        <v>50905.632054339978</v>
      </c>
      <c r="K37" s="24">
        <v>27785.7050528</v>
      </c>
    </row>
    <row r="38" spans="1:11">
      <c r="A38" s="23">
        <v>46112</v>
      </c>
      <c r="B38" s="23"/>
      <c r="C38" s="24"/>
      <c r="D38" s="24"/>
      <c r="E38" s="24"/>
      <c r="F38" s="24"/>
      <c r="G38" s="24"/>
      <c r="H38" s="24"/>
      <c r="I38" s="24"/>
      <c r="J38" s="24"/>
      <c r="K38" s="24">
        <v>28086.514672704441</v>
      </c>
    </row>
    <row r="39" spans="1:11">
      <c r="A39" s="23">
        <v>46203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</row>
    <row r="40" spans="1:11">
      <c r="A40" s="23">
        <v>46295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</row>
    <row r="41" spans="1:11">
      <c r="A41" s="23">
        <v>46387</v>
      </c>
      <c r="B41" s="23"/>
      <c r="C41" s="24"/>
      <c r="D41" s="24"/>
      <c r="E41" s="24"/>
      <c r="F41" s="24"/>
      <c r="G41" s="24"/>
      <c r="H41" s="24"/>
      <c r="I41" s="24"/>
      <c r="J41" s="24"/>
      <c r="K41" s="24"/>
    </row>
    <row r="42" spans="1:11">
      <c r="A42" s="23">
        <v>46112</v>
      </c>
      <c r="B42" s="23"/>
      <c r="C42" s="24"/>
      <c r="D42" s="24"/>
      <c r="E42" s="24"/>
      <c r="F42" s="24"/>
      <c r="G42" s="24"/>
      <c r="H42" s="24"/>
      <c r="I42" s="24"/>
      <c r="J42" s="24"/>
      <c r="K42" s="24">
        <v>28086.514672704441</v>
      </c>
    </row>
    <row r="43" spans="1:11">
      <c r="A43" s="23">
        <v>46203</v>
      </c>
      <c r="B43" s="23"/>
      <c r="C43" s="24"/>
      <c r="D43" s="24"/>
      <c r="E43" s="24"/>
      <c r="F43" s="24"/>
      <c r="G43" s="24"/>
      <c r="H43" s="24"/>
      <c r="I43" s="24"/>
      <c r="J43" s="24"/>
      <c r="K43" s="24"/>
    </row>
    <row r="44" spans="1:11">
      <c r="A44" s="23">
        <v>46295</v>
      </c>
      <c r="B44" s="23"/>
      <c r="C44" s="24"/>
      <c r="D44" s="24"/>
      <c r="E44" s="24"/>
      <c r="F44" s="24"/>
      <c r="G44" s="24"/>
      <c r="H44" s="24"/>
      <c r="I44" s="24"/>
      <c r="J44" s="24"/>
      <c r="K44" s="24"/>
    </row>
    <row r="45" spans="1:11">
      <c r="A45" s="23">
        <v>46387</v>
      </c>
      <c r="B45" s="23" t="s">
        <v>93</v>
      </c>
      <c r="C45" s="24"/>
      <c r="D45" s="24"/>
      <c r="E45" s="24"/>
      <c r="F45" s="24"/>
      <c r="G45" s="24"/>
      <c r="H45" s="24"/>
      <c r="I45" s="24"/>
      <c r="J45" s="24"/>
      <c r="K45" s="24"/>
    </row>
    <row r="46" spans="1:11">
      <c r="A46" s="23">
        <v>46112</v>
      </c>
      <c r="B46" s="23"/>
      <c r="C46" s="24"/>
      <c r="D46" s="24"/>
      <c r="E46" s="24"/>
      <c r="F46" s="24"/>
      <c r="G46" s="24"/>
      <c r="H46" s="24"/>
      <c r="I46" s="24"/>
      <c r="J46" s="24"/>
      <c r="K46" s="24">
        <v>28086.514672704441</v>
      </c>
    </row>
    <row r="47" spans="1:11">
      <c r="A47" s="23">
        <v>46203</v>
      </c>
      <c r="B47" s="23"/>
      <c r="C47" s="24"/>
      <c r="D47" s="24"/>
      <c r="E47" s="24"/>
      <c r="F47" s="24"/>
      <c r="G47" s="24"/>
      <c r="H47" s="24"/>
      <c r="I47" s="24"/>
      <c r="J47" s="24"/>
      <c r="K47" s="24"/>
    </row>
    <row r="48" spans="1:11">
      <c r="A48" s="23">
        <v>46295</v>
      </c>
      <c r="B48" s="23"/>
      <c r="C48" s="24"/>
      <c r="D48" s="24"/>
      <c r="E48" s="24"/>
      <c r="F48" s="24"/>
      <c r="G48" s="24"/>
      <c r="H48" s="24"/>
      <c r="I48" s="24"/>
      <c r="J48" s="24"/>
      <c r="K48" s="24"/>
    </row>
    <row r="49" spans="1:11">
      <c r="A49" s="23">
        <v>46387</v>
      </c>
      <c r="B49" s="23" t="s">
        <v>93</v>
      </c>
      <c r="C49" s="24"/>
      <c r="D49" s="24"/>
      <c r="E49" s="24"/>
      <c r="F49" s="24"/>
      <c r="G49" s="24"/>
      <c r="H49" s="24"/>
      <c r="I49" s="24"/>
      <c r="J49" s="24"/>
      <c r="K49" s="24"/>
    </row>
    <row r="50" spans="1:11"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C59" s="2"/>
      <c r="D59" s="2"/>
      <c r="E59" s="2"/>
      <c r="F59" s="2"/>
      <c r="G59" s="2"/>
      <c r="H59" s="2"/>
      <c r="I59" s="2"/>
      <c r="J59" s="2"/>
      <c r="K59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ABFA-F653-4F57-9DF2-470C8E47177F}">
  <sheetPr codeName="Sheet4">
    <tabColor rgb="FF002060"/>
  </sheetPr>
  <dimension ref="A1:C38"/>
  <sheetViews>
    <sheetView zoomScale="130" zoomScaleNormal="130" workbookViewId="0">
      <selection activeCell="B2" sqref="B2:B37"/>
    </sheetView>
  </sheetViews>
  <sheetFormatPr defaultColWidth="9.109375" defaultRowHeight="14.4"/>
  <cols>
    <col min="1" max="1" width="8.6640625" style="3" bestFit="1" customWidth="1"/>
    <col min="2" max="2" width="10.6640625" style="3" bestFit="1" customWidth="1"/>
    <col min="3" max="3" width="8" style="3" bestFit="1" customWidth="1"/>
    <col min="4" max="16384" width="9.109375" style="3"/>
  </cols>
  <sheetData>
    <row r="1" spans="1:3">
      <c r="A1" s="22" t="s">
        <v>0</v>
      </c>
      <c r="B1" s="22" t="s">
        <v>57</v>
      </c>
      <c r="C1" s="22" t="s">
        <v>26</v>
      </c>
    </row>
    <row r="2" spans="1:3">
      <c r="A2" s="23">
        <v>42825</v>
      </c>
      <c r="B2" s="23" t="s">
        <v>58</v>
      </c>
      <c r="C2" s="22">
        <v>56.7</v>
      </c>
    </row>
    <row r="3" spans="1:3">
      <c r="A3" s="23">
        <v>42916</v>
      </c>
      <c r="B3" s="23" t="s">
        <v>59</v>
      </c>
      <c r="C3" s="22">
        <v>55.4</v>
      </c>
    </row>
    <row r="4" spans="1:3">
      <c r="A4" s="23">
        <v>43008</v>
      </c>
      <c r="B4" s="23" t="s">
        <v>60</v>
      </c>
      <c r="C4" s="22">
        <v>55.7</v>
      </c>
    </row>
    <row r="5" spans="1:3">
      <c r="A5" s="23">
        <v>43100</v>
      </c>
      <c r="B5" s="23" t="s">
        <v>61</v>
      </c>
      <c r="C5" s="22">
        <v>56.8</v>
      </c>
    </row>
    <row r="6" spans="1:3">
      <c r="A6" s="23">
        <v>43190</v>
      </c>
      <c r="B6" s="23" t="s">
        <v>62</v>
      </c>
      <c r="C6" s="22">
        <v>53</v>
      </c>
    </row>
    <row r="7" spans="1:3">
      <c r="A7" s="23">
        <v>43281</v>
      </c>
      <c r="B7" s="23" t="s">
        <v>63</v>
      </c>
      <c r="C7" s="22">
        <v>53.8</v>
      </c>
    </row>
    <row r="8" spans="1:3">
      <c r="A8" s="23">
        <v>43373</v>
      </c>
      <c r="B8" s="23" t="s">
        <v>64</v>
      </c>
      <c r="C8" s="22">
        <v>54.8</v>
      </c>
    </row>
    <row r="9" spans="1:3">
      <c r="A9" s="23">
        <v>43465</v>
      </c>
      <c r="B9" s="23" t="s">
        <v>65</v>
      </c>
      <c r="C9" s="22">
        <v>55.9</v>
      </c>
    </row>
    <row r="10" spans="1:3">
      <c r="A10" s="23">
        <v>43555</v>
      </c>
      <c r="B10" s="23" t="s">
        <v>66</v>
      </c>
      <c r="C10" s="22">
        <v>56.5</v>
      </c>
    </row>
    <row r="11" spans="1:3">
      <c r="A11" s="23">
        <v>43646</v>
      </c>
      <c r="B11" s="23" t="s">
        <v>67</v>
      </c>
      <c r="C11" s="22">
        <v>57.2</v>
      </c>
    </row>
    <row r="12" spans="1:3">
      <c r="A12" s="23">
        <v>43738</v>
      </c>
      <c r="B12" s="23" t="s">
        <v>68</v>
      </c>
      <c r="C12" s="22">
        <v>57</v>
      </c>
    </row>
    <row r="13" spans="1:3">
      <c r="A13" s="23">
        <v>43830</v>
      </c>
      <c r="B13" s="23" t="s">
        <v>69</v>
      </c>
      <c r="C13" s="22">
        <v>57.7</v>
      </c>
    </row>
    <row r="14" spans="1:3">
      <c r="A14" s="23">
        <v>43921</v>
      </c>
      <c r="B14" s="23" t="s">
        <v>70</v>
      </c>
      <c r="C14" s="22">
        <v>49.9</v>
      </c>
    </row>
    <row r="15" spans="1:3">
      <c r="A15" s="23">
        <v>44012</v>
      </c>
      <c r="B15" s="23" t="s">
        <v>71</v>
      </c>
      <c r="C15" s="22">
        <v>46.7</v>
      </c>
    </row>
    <row r="16" spans="1:3">
      <c r="A16" s="23">
        <v>44104</v>
      </c>
      <c r="B16" s="23" t="s">
        <v>72</v>
      </c>
      <c r="C16" s="22">
        <v>49.8</v>
      </c>
    </row>
    <row r="17" spans="1:3">
      <c r="A17" s="23">
        <v>44196</v>
      </c>
      <c r="B17" s="23" t="s">
        <v>73</v>
      </c>
      <c r="C17" s="22">
        <v>54.2</v>
      </c>
    </row>
    <row r="18" spans="1:3">
      <c r="A18" s="23">
        <v>44286</v>
      </c>
      <c r="B18" s="23" t="s">
        <v>74</v>
      </c>
      <c r="C18" s="22">
        <v>54.8</v>
      </c>
    </row>
    <row r="19" spans="1:3">
      <c r="A19" s="23">
        <v>44377</v>
      </c>
      <c r="B19" s="23" t="s">
        <v>75</v>
      </c>
      <c r="C19" s="22">
        <v>56</v>
      </c>
    </row>
    <row r="20" spans="1:3">
      <c r="A20" s="23">
        <v>44469</v>
      </c>
      <c r="B20" s="23" t="s">
        <v>76</v>
      </c>
      <c r="C20" s="22">
        <v>56.2</v>
      </c>
    </row>
    <row r="21" spans="1:3">
      <c r="A21" s="23">
        <v>44561</v>
      </c>
      <c r="B21" s="23" t="s">
        <v>77</v>
      </c>
      <c r="C21" s="22">
        <v>56.2</v>
      </c>
    </row>
    <row r="22" spans="1:3">
      <c r="A22" s="23">
        <v>44651</v>
      </c>
      <c r="B22" s="23" t="s">
        <v>78</v>
      </c>
      <c r="C22" s="22">
        <v>55.4</v>
      </c>
    </row>
    <row r="23" spans="1:3">
      <c r="A23" s="23">
        <v>44742</v>
      </c>
      <c r="B23" s="23" t="s">
        <v>79</v>
      </c>
      <c r="C23" s="22">
        <v>56.1</v>
      </c>
    </row>
    <row r="24" spans="1:3">
      <c r="A24" s="23">
        <v>44834</v>
      </c>
      <c r="B24" s="23" t="s">
        <v>80</v>
      </c>
      <c r="C24" s="22">
        <v>56.9</v>
      </c>
    </row>
    <row r="25" spans="1:3">
      <c r="A25" s="23">
        <v>44926</v>
      </c>
      <c r="B25" s="23" t="s">
        <v>81</v>
      </c>
      <c r="C25" s="22">
        <v>57.5</v>
      </c>
    </row>
    <row r="26" spans="1:3">
      <c r="A26" s="23">
        <v>45016</v>
      </c>
      <c r="B26" s="23" t="s">
        <v>82</v>
      </c>
      <c r="C26" s="22">
        <v>58.9</v>
      </c>
    </row>
    <row r="27" spans="1:3">
      <c r="A27" s="23">
        <v>45107</v>
      </c>
      <c r="B27" s="23" t="s">
        <v>83</v>
      </c>
      <c r="C27" s="22">
        <v>59.2</v>
      </c>
    </row>
    <row r="28" spans="1:3">
      <c r="A28" s="23">
        <v>45199</v>
      </c>
      <c r="B28" s="23" t="s">
        <v>84</v>
      </c>
      <c r="C28" s="22">
        <v>57.2</v>
      </c>
    </row>
    <row r="29" spans="1:3">
      <c r="A29" s="23">
        <v>45291</v>
      </c>
      <c r="B29" s="23" t="s">
        <v>85</v>
      </c>
      <c r="C29" s="22">
        <v>57.8</v>
      </c>
    </row>
    <row r="30" spans="1:3">
      <c r="A30" s="23">
        <v>45382</v>
      </c>
      <c r="B30" s="23" t="s">
        <v>86</v>
      </c>
      <c r="C30" s="22">
        <v>56.5</v>
      </c>
    </row>
    <row r="31" spans="1:3">
      <c r="A31" s="23">
        <v>45473</v>
      </c>
      <c r="B31" s="23" t="s">
        <v>87</v>
      </c>
      <c r="C31" s="22">
        <v>56.1</v>
      </c>
    </row>
    <row r="32" spans="1:3">
      <c r="A32" s="23">
        <v>45565</v>
      </c>
      <c r="B32" s="23" t="s">
        <v>88</v>
      </c>
      <c r="C32" s="22">
        <v>55.2</v>
      </c>
    </row>
    <row r="33" spans="1:3">
      <c r="A33" s="23">
        <v>45657</v>
      </c>
      <c r="B33" s="23" t="s">
        <v>89</v>
      </c>
      <c r="C33" s="22">
        <v>58.1</v>
      </c>
    </row>
    <row r="34" spans="1:3">
      <c r="A34" s="23">
        <v>45747</v>
      </c>
      <c r="B34" s="23" t="s">
        <v>90</v>
      </c>
      <c r="C34" s="22">
        <v>59</v>
      </c>
    </row>
    <row r="35" spans="1:3">
      <c r="A35" s="23">
        <v>45838</v>
      </c>
      <c r="B35" s="23" t="s">
        <v>91</v>
      </c>
      <c r="C35" s="22">
        <v>56.2</v>
      </c>
    </row>
    <row r="36" spans="1:3">
      <c r="A36" s="23">
        <v>45930</v>
      </c>
      <c r="B36" s="23" t="s">
        <v>92</v>
      </c>
      <c r="C36" s="22">
        <v>56.8</v>
      </c>
    </row>
    <row r="37" spans="1:3">
      <c r="A37" s="23">
        <v>46022</v>
      </c>
      <c r="B37" s="24" t="s">
        <v>93</v>
      </c>
      <c r="C37" s="22">
        <v>58.7</v>
      </c>
    </row>
    <row r="38" spans="1:3">
      <c r="A38" s="23">
        <v>46112</v>
      </c>
      <c r="B38" s="23"/>
      <c r="C38" s="22">
        <v>56.2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C6FB-AB9B-4B91-A1E3-1632B5D001EF}">
  <sheetPr codeName="Sheet5">
    <tabColor rgb="FF002060"/>
  </sheetPr>
  <dimension ref="A1:C38"/>
  <sheetViews>
    <sheetView zoomScale="130" zoomScaleNormal="130" workbookViewId="0">
      <selection activeCell="B2" sqref="B2"/>
    </sheetView>
  </sheetViews>
  <sheetFormatPr defaultColWidth="9.109375" defaultRowHeight="14.4"/>
  <cols>
    <col min="1" max="1" width="8.6640625" style="3" bestFit="1" customWidth="1"/>
    <col min="2" max="2" width="10.6640625" style="3" bestFit="1" customWidth="1"/>
    <col min="3" max="3" width="9.33203125" style="2" bestFit="1" customWidth="1"/>
    <col min="4" max="16384" width="9.109375" style="3"/>
  </cols>
  <sheetData>
    <row r="1" spans="1:3">
      <c r="A1" s="22" t="s">
        <v>0</v>
      </c>
      <c r="B1" s="22" t="s">
        <v>57</v>
      </c>
      <c r="C1" s="22" t="s">
        <v>27</v>
      </c>
    </row>
    <row r="2" spans="1:3">
      <c r="A2" s="23">
        <v>42825</v>
      </c>
      <c r="B2" s="23" t="s">
        <v>58</v>
      </c>
      <c r="C2" s="24">
        <v>15358633.333333334</v>
      </c>
    </row>
    <row r="3" spans="1:3">
      <c r="A3" s="23">
        <v>42916</v>
      </c>
      <c r="B3" s="23" t="s">
        <v>59</v>
      </c>
      <c r="C3" s="24">
        <v>17061200</v>
      </c>
    </row>
    <row r="4" spans="1:3">
      <c r="A4" s="23">
        <v>43008</v>
      </c>
      <c r="B4" s="23" t="s">
        <v>60</v>
      </c>
      <c r="C4" s="24">
        <v>16125500</v>
      </c>
    </row>
    <row r="5" spans="1:3">
      <c r="A5" s="23">
        <v>43100</v>
      </c>
      <c r="B5" s="23" t="s">
        <v>61</v>
      </c>
      <c r="C5" s="24">
        <v>17518700</v>
      </c>
    </row>
    <row r="6" spans="1:3">
      <c r="A6" s="23">
        <v>43190</v>
      </c>
      <c r="B6" s="23" t="s">
        <v>62</v>
      </c>
      <c r="C6" s="24">
        <v>18472100</v>
      </c>
    </row>
    <row r="7" spans="1:3">
      <c r="A7" s="23">
        <v>43281</v>
      </c>
      <c r="B7" s="23" t="s">
        <v>63</v>
      </c>
      <c r="C7" s="24">
        <v>20163900</v>
      </c>
    </row>
    <row r="8" spans="1:3">
      <c r="A8" s="23">
        <v>43373</v>
      </c>
      <c r="B8" s="23" t="s">
        <v>64</v>
      </c>
      <c r="C8" s="24">
        <v>20220500</v>
      </c>
    </row>
    <row r="9" spans="1:3">
      <c r="A9" s="23">
        <v>43465</v>
      </c>
      <c r="B9" s="23" t="s">
        <v>65</v>
      </c>
      <c r="C9" s="24">
        <v>21362166.666666668</v>
      </c>
    </row>
    <row r="10" spans="1:3">
      <c r="A10" s="23">
        <v>43555</v>
      </c>
      <c r="B10" s="23" t="s">
        <v>66</v>
      </c>
      <c r="C10" s="24">
        <v>23405433.333333332</v>
      </c>
    </row>
    <row r="11" spans="1:3">
      <c r="A11" s="23">
        <v>43646</v>
      </c>
      <c r="B11" s="23" t="s">
        <v>67</v>
      </c>
      <c r="C11" s="24">
        <v>25805533.333333332</v>
      </c>
    </row>
    <row r="12" spans="1:3">
      <c r="A12" s="23">
        <v>43738</v>
      </c>
      <c r="B12" s="23" t="s">
        <v>68</v>
      </c>
      <c r="C12" s="24">
        <v>25850400</v>
      </c>
    </row>
    <row r="13" spans="1:3">
      <c r="A13" s="23">
        <v>43830</v>
      </c>
      <c r="B13" s="23" t="s">
        <v>69</v>
      </c>
      <c r="C13" s="24">
        <v>27472033.333333332</v>
      </c>
    </row>
    <row r="14" spans="1:3">
      <c r="A14" s="23">
        <v>43921</v>
      </c>
      <c r="B14" s="23" t="s">
        <v>70</v>
      </c>
      <c r="C14" s="24">
        <v>28162133.333333332</v>
      </c>
    </row>
    <row r="15" spans="1:3">
      <c r="A15" s="23">
        <v>44012</v>
      </c>
      <c r="B15" s="23" t="s">
        <v>71</v>
      </c>
      <c r="C15" s="24">
        <v>25472133.333333332</v>
      </c>
    </row>
    <row r="16" spans="1:3">
      <c r="A16" s="23">
        <v>44104</v>
      </c>
      <c r="B16" s="23" t="s">
        <v>72</v>
      </c>
      <c r="C16" s="24">
        <v>33738733.333333336</v>
      </c>
    </row>
    <row r="17" spans="1:3">
      <c r="A17" s="23">
        <v>44196</v>
      </c>
      <c r="B17" s="23" t="s">
        <v>73</v>
      </c>
      <c r="C17" s="24">
        <v>36028800</v>
      </c>
    </row>
    <row r="18" spans="1:3">
      <c r="A18" s="23">
        <v>44286</v>
      </c>
      <c r="B18" s="23" t="s">
        <v>74</v>
      </c>
      <c r="C18" s="24">
        <v>41597200</v>
      </c>
    </row>
    <row r="19" spans="1:3">
      <c r="A19" s="23">
        <v>44377</v>
      </c>
      <c r="B19" s="23" t="s">
        <v>75</v>
      </c>
      <c r="C19" s="24">
        <v>43805266.666666664</v>
      </c>
    </row>
    <row r="20" spans="1:3">
      <c r="A20" s="23">
        <v>44469</v>
      </c>
      <c r="B20" s="23" t="s">
        <v>76</v>
      </c>
      <c r="C20" s="24">
        <v>43138833.333333336</v>
      </c>
    </row>
    <row r="21" spans="1:3">
      <c r="A21" s="23">
        <v>44561</v>
      </c>
      <c r="B21" s="23" t="s">
        <v>77</v>
      </c>
      <c r="C21" s="24">
        <v>46805566.666666664</v>
      </c>
    </row>
    <row r="22" spans="1:3">
      <c r="A22" s="23">
        <v>44651</v>
      </c>
      <c r="B22" s="23" t="s">
        <v>78</v>
      </c>
      <c r="C22" s="24">
        <v>49472033.333333336</v>
      </c>
    </row>
    <row r="23" spans="1:3">
      <c r="A23" s="23">
        <v>44742</v>
      </c>
      <c r="B23" s="23" t="s">
        <v>79</v>
      </c>
      <c r="C23" s="24">
        <v>51138733.333333336</v>
      </c>
    </row>
    <row r="24" spans="1:3">
      <c r="A24" s="23">
        <v>44834</v>
      </c>
      <c r="B24" s="23" t="s">
        <v>80</v>
      </c>
      <c r="C24" s="24">
        <v>49805733.333333336</v>
      </c>
    </row>
    <row r="25" spans="1:3">
      <c r="A25" s="23">
        <v>44926</v>
      </c>
      <c r="B25" s="23" t="s">
        <v>81</v>
      </c>
      <c r="C25" s="24">
        <v>53805366.666666664</v>
      </c>
    </row>
    <row r="26" spans="1:3">
      <c r="A26" s="23">
        <v>45016</v>
      </c>
      <c r="B26" s="23" t="s">
        <v>82</v>
      </c>
      <c r="C26" s="24">
        <v>56472133.333333336</v>
      </c>
    </row>
    <row r="27" spans="1:3">
      <c r="A27" s="23">
        <v>45107</v>
      </c>
      <c r="B27" s="23" t="s">
        <v>83</v>
      </c>
      <c r="C27" s="24">
        <v>58472000</v>
      </c>
    </row>
    <row r="28" spans="1:3">
      <c r="A28" s="23">
        <v>45199</v>
      </c>
      <c r="B28" s="23" t="s">
        <v>84</v>
      </c>
      <c r="C28" s="24">
        <v>56805566.666666664</v>
      </c>
    </row>
    <row r="29" spans="1:3">
      <c r="A29" s="23">
        <v>45291</v>
      </c>
      <c r="B29" s="23" t="s">
        <v>85</v>
      </c>
      <c r="C29" s="24">
        <v>60805366.666666664</v>
      </c>
    </row>
    <row r="30" spans="1:3">
      <c r="A30" s="23">
        <v>45382</v>
      </c>
      <c r="B30" s="23" t="s">
        <v>86</v>
      </c>
      <c r="C30" s="24">
        <v>63472233.333333336</v>
      </c>
    </row>
    <row r="31" spans="1:3">
      <c r="A31" s="23">
        <v>45473</v>
      </c>
      <c r="B31" s="23" t="s">
        <v>87</v>
      </c>
      <c r="C31" s="24">
        <v>65472200</v>
      </c>
    </row>
    <row r="32" spans="1:3">
      <c r="A32" s="23">
        <v>45565</v>
      </c>
      <c r="B32" s="23" t="s">
        <v>88</v>
      </c>
      <c r="C32" s="24">
        <v>63805300</v>
      </c>
    </row>
    <row r="33" spans="1:3">
      <c r="A33" s="23">
        <v>45657</v>
      </c>
      <c r="B33" s="23" t="s">
        <v>89</v>
      </c>
      <c r="C33" s="24">
        <v>67805533.333333328</v>
      </c>
    </row>
    <row r="34" spans="1:3">
      <c r="A34" s="23">
        <v>45747</v>
      </c>
      <c r="B34" s="23" t="s">
        <v>90</v>
      </c>
      <c r="C34" s="24">
        <v>64850000</v>
      </c>
    </row>
    <row r="35" spans="1:3">
      <c r="A35" s="23">
        <v>45838</v>
      </c>
      <c r="B35" s="23" t="s">
        <v>91</v>
      </c>
      <c r="C35" s="24">
        <v>67066666.666666664</v>
      </c>
    </row>
    <row r="36" spans="1:3">
      <c r="A36" s="23">
        <v>45930</v>
      </c>
      <c r="B36" s="23" t="s">
        <v>92</v>
      </c>
      <c r="C36" s="24">
        <v>64900000</v>
      </c>
    </row>
    <row r="37" spans="1:3">
      <c r="A37" s="23">
        <v>46022</v>
      </c>
      <c r="B37" s="24" t="s">
        <v>93</v>
      </c>
      <c r="C37" s="24">
        <v>69266666.666666672</v>
      </c>
    </row>
    <row r="38" spans="1:3">
      <c r="A38" s="23">
        <v>46112</v>
      </c>
      <c r="B38" s="23"/>
      <c r="C38" s="24">
        <v>63770235.666666664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A1C1-B22A-40BF-84B5-D1A29222BB9E}">
  <sheetPr codeName="Sheet6">
    <tabColor rgb="FF002060"/>
  </sheetPr>
  <dimension ref="A1:D38"/>
  <sheetViews>
    <sheetView zoomScale="145" zoomScaleNormal="145" workbookViewId="0">
      <selection activeCell="B2" sqref="B2"/>
    </sheetView>
  </sheetViews>
  <sheetFormatPr defaultColWidth="9.109375" defaultRowHeight="10.8"/>
  <cols>
    <col min="1" max="1" width="8.6640625" style="28" bestFit="1" customWidth="1"/>
    <col min="2" max="2" width="10.6640625" style="28" bestFit="1" customWidth="1"/>
    <col min="3" max="3" width="13" style="29" bestFit="1" customWidth="1"/>
    <col min="4" max="4" width="9" style="30" bestFit="1" customWidth="1"/>
    <col min="5" max="16384" width="9.109375" style="28"/>
  </cols>
  <sheetData>
    <row r="1" spans="1:4">
      <c r="A1" s="22" t="s">
        <v>0</v>
      </c>
      <c r="B1" s="22" t="s">
        <v>57</v>
      </c>
      <c r="C1" s="22" t="s">
        <v>31</v>
      </c>
      <c r="D1" s="22" t="s">
        <v>32</v>
      </c>
    </row>
    <row r="2" spans="1:4">
      <c r="A2" s="23">
        <v>42825</v>
      </c>
      <c r="B2" s="23" t="s">
        <v>58</v>
      </c>
      <c r="C2" s="24">
        <v>9898</v>
      </c>
      <c r="D2" s="27">
        <v>53.883333333333333</v>
      </c>
    </row>
    <row r="3" spans="1:4">
      <c r="A3" s="23">
        <v>42916</v>
      </c>
      <c r="B3" s="23" t="s">
        <v>59</v>
      </c>
      <c r="C3" s="24">
        <v>9948</v>
      </c>
      <c r="D3" s="27">
        <v>50.1</v>
      </c>
    </row>
    <row r="4" spans="1:4">
      <c r="A4" s="23">
        <v>43008</v>
      </c>
      <c r="B4" s="23" t="s">
        <v>60</v>
      </c>
      <c r="C4" s="24">
        <v>10005</v>
      </c>
      <c r="D4" s="27">
        <v>52.110000000000007</v>
      </c>
    </row>
    <row r="5" spans="1:4">
      <c r="A5" s="23">
        <v>43100</v>
      </c>
      <c r="B5" s="23" t="s">
        <v>61</v>
      </c>
      <c r="C5" s="24">
        <v>9992.6666666666661</v>
      </c>
      <c r="D5" s="27">
        <v>61.53</v>
      </c>
    </row>
    <row r="6" spans="1:4">
      <c r="A6" s="23">
        <v>43190</v>
      </c>
      <c r="B6" s="23" t="s">
        <v>62</v>
      </c>
      <c r="C6" s="24">
        <v>9955.3333333333339</v>
      </c>
      <c r="D6" s="27">
        <v>66.806666666666658</v>
      </c>
    </row>
    <row r="7" spans="1:4">
      <c r="A7" s="23">
        <v>43281</v>
      </c>
      <c r="B7" s="23" t="s">
        <v>63</v>
      </c>
      <c r="C7" s="24">
        <v>10116.333333333334</v>
      </c>
      <c r="D7" s="27">
        <v>74.38333333333334</v>
      </c>
    </row>
    <row r="8" spans="1:4">
      <c r="A8" s="23">
        <v>43373</v>
      </c>
      <c r="B8" s="23" t="s">
        <v>64</v>
      </c>
      <c r="C8" s="24">
        <v>10437</v>
      </c>
      <c r="D8" s="27">
        <v>75.239999999999995</v>
      </c>
    </row>
    <row r="9" spans="1:4">
      <c r="A9" s="23">
        <v>43465</v>
      </c>
      <c r="B9" s="23" t="s">
        <v>65</v>
      </c>
      <c r="C9" s="24">
        <v>10757</v>
      </c>
      <c r="D9" s="27">
        <v>67.90666666666668</v>
      </c>
    </row>
    <row r="10" spans="1:4">
      <c r="A10" s="23">
        <v>43555</v>
      </c>
      <c r="B10" s="23" t="s">
        <v>66</v>
      </c>
      <c r="C10" s="24">
        <v>10055.666666666666</v>
      </c>
      <c r="D10" s="27">
        <v>63.196666666666665</v>
      </c>
    </row>
    <row r="11" spans="1:4">
      <c r="A11" s="23">
        <v>43646</v>
      </c>
      <c r="B11" s="23" t="s">
        <v>67</v>
      </c>
      <c r="C11" s="24">
        <v>9731.3333333333339</v>
      </c>
      <c r="D11" s="27">
        <v>68.543333333333337</v>
      </c>
    </row>
    <row r="12" spans="1:4">
      <c r="A12" s="23">
        <v>43738</v>
      </c>
      <c r="B12" s="23" t="s">
        <v>68</v>
      </c>
      <c r="C12" s="24">
        <v>9528</v>
      </c>
      <c r="D12" s="27">
        <v>62.083333333333336</v>
      </c>
    </row>
    <row r="13" spans="1:4">
      <c r="A13" s="23">
        <v>43830</v>
      </c>
      <c r="B13" s="23" t="s">
        <v>69</v>
      </c>
      <c r="C13" s="24">
        <v>9824</v>
      </c>
      <c r="D13" s="27">
        <v>63.410000000000004</v>
      </c>
    </row>
    <row r="14" spans="1:4">
      <c r="A14" s="23">
        <v>43921</v>
      </c>
      <c r="B14" s="23" t="s">
        <v>70</v>
      </c>
      <c r="C14" s="24">
        <v>9733.3333333333339</v>
      </c>
      <c r="D14" s="27">
        <v>50.44</v>
      </c>
    </row>
    <row r="15" spans="1:4">
      <c r="A15" s="23">
        <v>44012</v>
      </c>
      <c r="B15" s="23" t="s">
        <v>71</v>
      </c>
      <c r="C15" s="24">
        <v>9207.6666666666661</v>
      </c>
      <c r="D15" s="27">
        <v>30.353333333333335</v>
      </c>
    </row>
    <row r="16" spans="1:4">
      <c r="A16" s="23">
        <v>44104</v>
      </c>
      <c r="B16" s="23" t="s">
        <v>72</v>
      </c>
      <c r="C16" s="24">
        <v>8751.6666666666661</v>
      </c>
      <c r="D16" s="27">
        <v>42.963333333333331</v>
      </c>
    </row>
    <row r="17" spans="1:4">
      <c r="A17" s="23">
        <v>44196</v>
      </c>
      <c r="B17" s="23" t="s">
        <v>73</v>
      </c>
      <c r="C17" s="24">
        <v>8961</v>
      </c>
      <c r="D17" s="27">
        <v>44.47</v>
      </c>
    </row>
    <row r="18" spans="1:4">
      <c r="A18" s="23">
        <v>44286</v>
      </c>
      <c r="B18" s="23" t="s">
        <v>74</v>
      </c>
      <c r="C18" s="24">
        <v>8453</v>
      </c>
      <c r="D18" s="27">
        <v>60.82</v>
      </c>
    </row>
    <row r="19" spans="1:4">
      <c r="A19" s="23">
        <v>44377</v>
      </c>
      <c r="B19" s="23" t="s">
        <v>75</v>
      </c>
      <c r="C19" s="24">
        <v>8501.3333333333339</v>
      </c>
      <c r="D19" s="27">
        <v>68.833333333333329</v>
      </c>
    </row>
    <row r="20" spans="1:4">
      <c r="A20" s="23">
        <v>44469</v>
      </c>
      <c r="B20" s="23" t="s">
        <v>76</v>
      </c>
      <c r="C20" s="24">
        <v>9523</v>
      </c>
      <c r="D20" s="27">
        <v>73.470000000000013</v>
      </c>
    </row>
    <row r="21" spans="1:4">
      <c r="A21" s="23">
        <v>44561</v>
      </c>
      <c r="B21" s="23" t="s">
        <v>77</v>
      </c>
      <c r="C21" s="24">
        <v>9849.6666666666661</v>
      </c>
      <c r="D21" s="27">
        <v>79.586666666666659</v>
      </c>
    </row>
    <row r="22" spans="1:4">
      <c r="A22" s="23">
        <v>44651</v>
      </c>
      <c r="B22" s="23" t="s">
        <v>78</v>
      </c>
      <c r="C22" s="24">
        <v>10126.666666666666</v>
      </c>
      <c r="D22" s="27">
        <v>100.29666666666667</v>
      </c>
    </row>
    <row r="23" spans="1:4">
      <c r="A23" s="23">
        <v>44742</v>
      </c>
      <c r="B23" s="23" t="s">
        <v>79</v>
      </c>
      <c r="C23" s="24">
        <v>10453</v>
      </c>
      <c r="D23" s="27">
        <v>113.54333333333334</v>
      </c>
    </row>
    <row r="24" spans="1:4">
      <c r="A24" s="23">
        <v>44834</v>
      </c>
      <c r="B24" s="23" t="s">
        <v>80</v>
      </c>
      <c r="C24" s="24">
        <v>10869.666666666666</v>
      </c>
      <c r="D24" s="27">
        <v>100.71333333333332</v>
      </c>
    </row>
    <row r="25" spans="1:4">
      <c r="A25" s="23">
        <v>44926</v>
      </c>
      <c r="B25" s="23" t="s">
        <v>81</v>
      </c>
      <c r="C25" s="24">
        <v>10571</v>
      </c>
      <c r="D25" s="27">
        <v>88.59666666666665</v>
      </c>
    </row>
    <row r="26" spans="1:4">
      <c r="A26" s="23">
        <v>45016</v>
      </c>
      <c r="B26" s="23" t="s">
        <v>82</v>
      </c>
      <c r="C26" s="24">
        <v>10406.666666666666</v>
      </c>
      <c r="D26" s="27">
        <v>82.206666666666663</v>
      </c>
    </row>
    <row r="27" spans="1:4">
      <c r="A27" s="23">
        <v>45107</v>
      </c>
      <c r="B27" s="23" t="s">
        <v>83</v>
      </c>
      <c r="C27" s="24">
        <v>10144.333333333334</v>
      </c>
      <c r="D27" s="27">
        <v>77.94</v>
      </c>
    </row>
    <row r="28" spans="1:4">
      <c r="A28" s="23">
        <v>45199</v>
      </c>
      <c r="B28" s="23" t="s">
        <v>84</v>
      </c>
      <c r="C28" s="24">
        <v>8997.3333333333339</v>
      </c>
      <c r="D28" s="27">
        <v>86.326666666666668</v>
      </c>
    </row>
    <row r="29" spans="1:4">
      <c r="A29" s="23">
        <v>45291</v>
      </c>
      <c r="B29" s="23" t="s">
        <v>85</v>
      </c>
      <c r="C29" s="24">
        <v>8983</v>
      </c>
      <c r="D29" s="27">
        <v>83.316666666666663</v>
      </c>
    </row>
    <row r="30" spans="1:4">
      <c r="A30" s="23">
        <v>45382</v>
      </c>
      <c r="B30" s="23" t="s">
        <v>86</v>
      </c>
      <c r="C30" s="24">
        <v>8981.6666666666661</v>
      </c>
      <c r="D30" s="27">
        <v>82.17</v>
      </c>
    </row>
    <row r="31" spans="1:4">
      <c r="A31" s="23">
        <v>45473</v>
      </c>
      <c r="B31" s="23" t="s">
        <v>87</v>
      </c>
      <c r="C31" s="24">
        <v>8981.6666666666661</v>
      </c>
      <c r="D31" s="27">
        <v>84.833333333333329</v>
      </c>
    </row>
    <row r="32" spans="1:4">
      <c r="A32" s="23">
        <v>45565</v>
      </c>
      <c r="B32" s="23" t="s">
        <v>88</v>
      </c>
      <c r="C32" s="24">
        <v>8980</v>
      </c>
      <c r="D32" s="27">
        <v>78.516666666666666</v>
      </c>
    </row>
    <row r="33" spans="1:4">
      <c r="A33" s="23">
        <v>45657</v>
      </c>
      <c r="B33" s="23" t="s">
        <v>89</v>
      </c>
      <c r="C33" s="24">
        <v>8998.3333333333339</v>
      </c>
      <c r="D33" s="27">
        <v>73.876666666666665</v>
      </c>
    </row>
    <row r="34" spans="1:4">
      <c r="A34" s="23">
        <v>45747</v>
      </c>
      <c r="B34" s="23" t="s">
        <v>90</v>
      </c>
      <c r="C34" s="24">
        <v>9030</v>
      </c>
      <c r="D34" s="27">
        <v>70.676666666666662</v>
      </c>
    </row>
    <row r="35" spans="1:4">
      <c r="A35" s="23">
        <v>45838</v>
      </c>
      <c r="B35" s="23" t="s">
        <v>91</v>
      </c>
      <c r="C35" s="24">
        <v>9143.3333333333339</v>
      </c>
      <c r="D35" s="27">
        <v>61.31</v>
      </c>
    </row>
    <row r="36" spans="1:4">
      <c r="A36" s="23">
        <v>45930</v>
      </c>
      <c r="B36" s="23" t="s">
        <v>92</v>
      </c>
      <c r="C36" s="24">
        <v>9413.3333333333339</v>
      </c>
      <c r="D36" s="27">
        <v>65.896666666666661</v>
      </c>
    </row>
    <row r="37" spans="1:4">
      <c r="A37" s="23">
        <v>46022</v>
      </c>
      <c r="B37" s="24" t="s">
        <v>93</v>
      </c>
      <c r="C37" s="24">
        <v>9716.6666666666661</v>
      </c>
      <c r="D37" s="27">
        <v>59.196666666666665</v>
      </c>
    </row>
    <row r="38" spans="1:4">
      <c r="A38" s="23">
        <v>46112</v>
      </c>
      <c r="B38" s="23"/>
      <c r="C38" s="24">
        <v>10098.666666666666</v>
      </c>
      <c r="D38" s="27">
        <v>74.153333333333322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0522-DCB7-41CD-A901-6A02F7C20A29}">
  <sheetPr codeName="Sheet7">
    <tabColor rgb="FF002060"/>
  </sheetPr>
  <dimension ref="A1:C38"/>
  <sheetViews>
    <sheetView zoomScale="130" zoomScaleNormal="130" workbookViewId="0">
      <selection activeCell="C38" sqref="A1:C38"/>
    </sheetView>
  </sheetViews>
  <sheetFormatPr defaultColWidth="9.109375" defaultRowHeight="14.4"/>
  <cols>
    <col min="1" max="1" width="11.109375" style="3" bestFit="1" customWidth="1"/>
    <col min="2" max="2" width="12.44140625" style="3" bestFit="1" customWidth="1"/>
    <col min="3" max="3" width="9.88671875" style="2" bestFit="1" customWidth="1"/>
    <col min="4" max="16384" width="9.109375" style="3"/>
  </cols>
  <sheetData>
    <row r="1" spans="1:3">
      <c r="A1" s="19" t="s">
        <v>0</v>
      </c>
      <c r="B1" s="19" t="s">
        <v>57</v>
      </c>
      <c r="C1" s="21" t="s">
        <v>33</v>
      </c>
    </row>
    <row r="2" spans="1:3">
      <c r="A2" s="20">
        <v>42825</v>
      </c>
      <c r="B2" s="23" t="s">
        <v>58</v>
      </c>
      <c r="C2" s="21">
        <v>1779430.4491885367</v>
      </c>
    </row>
    <row r="3" spans="1:3">
      <c r="A3" s="20">
        <v>42916</v>
      </c>
      <c r="B3" s="23" t="s">
        <v>59</v>
      </c>
      <c r="C3" s="21">
        <v>1803423.0185188733</v>
      </c>
    </row>
    <row r="4" spans="1:3">
      <c r="A4" s="20">
        <v>43008</v>
      </c>
      <c r="B4" s="23" t="s">
        <v>60</v>
      </c>
      <c r="C4" s="21">
        <v>1804225.8746717901</v>
      </c>
    </row>
    <row r="5" spans="1:3">
      <c r="A5" s="20">
        <v>43100</v>
      </c>
      <c r="B5" s="23" t="s">
        <v>61</v>
      </c>
      <c r="C5" s="21">
        <v>1790167.2637482134</v>
      </c>
    </row>
    <row r="6" spans="1:3">
      <c r="A6" s="20">
        <v>43190</v>
      </c>
      <c r="B6" s="23" t="s">
        <v>62</v>
      </c>
      <c r="C6" s="21">
        <v>1802989.4753694499</v>
      </c>
    </row>
    <row r="7" spans="1:3">
      <c r="A7" s="20">
        <v>43281</v>
      </c>
      <c r="B7" s="23" t="s">
        <v>63</v>
      </c>
      <c r="C7" s="21">
        <v>1802537.1385572965</v>
      </c>
    </row>
    <row r="8" spans="1:3">
      <c r="A8" s="20">
        <v>43373</v>
      </c>
      <c r="B8" s="23" t="s">
        <v>64</v>
      </c>
      <c r="C8" s="21">
        <v>1815545.3649620935</v>
      </c>
    </row>
    <row r="9" spans="1:3">
      <c r="A9" s="20">
        <v>43465</v>
      </c>
      <c r="B9" s="23" t="s">
        <v>65</v>
      </c>
      <c r="C9" s="21">
        <v>1829630.8136773698</v>
      </c>
    </row>
    <row r="10" spans="1:3">
      <c r="A10" s="20">
        <v>43555</v>
      </c>
      <c r="B10" s="23" t="s">
        <v>66</v>
      </c>
      <c r="C10" s="21">
        <v>1829866.9221851833</v>
      </c>
    </row>
    <row r="11" spans="1:3">
      <c r="A11" s="20">
        <v>43646</v>
      </c>
      <c r="B11" s="23" t="s">
        <v>67</v>
      </c>
      <c r="C11" s="21">
        <v>1871915.8788580436</v>
      </c>
    </row>
    <row r="12" spans="1:3">
      <c r="A12" s="20">
        <v>43738</v>
      </c>
      <c r="B12" s="23" t="s">
        <v>68</v>
      </c>
      <c r="C12" s="21">
        <v>1885258.9853093836</v>
      </c>
    </row>
    <row r="13" spans="1:3">
      <c r="A13" s="20">
        <v>43830</v>
      </c>
      <c r="B13" s="23" t="s">
        <v>69</v>
      </c>
      <c r="C13" s="21">
        <v>1934567.7888489934</v>
      </c>
    </row>
    <row r="14" spans="1:3">
      <c r="A14" s="20">
        <v>43921</v>
      </c>
      <c r="B14" s="23" t="s">
        <v>70</v>
      </c>
      <c r="C14" s="21">
        <v>1975413.4976180133</v>
      </c>
    </row>
    <row r="15" spans="1:3">
      <c r="A15" s="20">
        <v>44012</v>
      </c>
      <c r="B15" s="23" t="s">
        <v>71</v>
      </c>
      <c r="C15" s="21">
        <v>2054231.5080380666</v>
      </c>
    </row>
    <row r="16" spans="1:3">
      <c r="A16" s="20">
        <v>44104</v>
      </c>
      <c r="B16" s="23" t="s">
        <v>72</v>
      </c>
      <c r="C16" s="21">
        <v>2070866.0280889701</v>
      </c>
    </row>
    <row r="17" spans="1:3">
      <c r="A17" s="20">
        <v>44196</v>
      </c>
      <c r="B17" s="23" t="s">
        <v>73</v>
      </c>
      <c r="C17" s="21">
        <v>2131791.7394316304</v>
      </c>
    </row>
    <row r="18" spans="1:3">
      <c r="A18" s="20">
        <v>44286</v>
      </c>
      <c r="B18" s="23" t="s">
        <v>74</v>
      </c>
      <c r="C18" s="21">
        <v>2158600.6206785603</v>
      </c>
    </row>
    <row r="19" spans="1:3">
      <c r="A19" s="20">
        <v>44377</v>
      </c>
      <c r="B19" s="23" t="s">
        <v>75</v>
      </c>
      <c r="C19" s="21">
        <v>2218988.8126260033</v>
      </c>
    </row>
    <row r="20" spans="1:3">
      <c r="A20" s="20">
        <v>44469</v>
      </c>
      <c r="B20" s="23" t="s">
        <v>76</v>
      </c>
      <c r="C20" s="21">
        <v>2250771.8324367101</v>
      </c>
    </row>
    <row r="21" spans="1:3">
      <c r="A21" s="20">
        <v>44561</v>
      </c>
      <c r="B21" s="23" t="s">
        <v>77</v>
      </c>
      <c r="C21" s="21">
        <v>2285239.3108454798</v>
      </c>
    </row>
    <row r="22" spans="1:3">
      <c r="A22" s="20">
        <v>44651</v>
      </c>
      <c r="B22" s="23" t="s">
        <v>78</v>
      </c>
      <c r="C22" s="21">
        <v>2332366.0365014765</v>
      </c>
    </row>
    <row r="23" spans="1:3">
      <c r="A23" s="20">
        <v>44742</v>
      </c>
      <c r="B23" s="23" t="s">
        <v>79</v>
      </c>
      <c r="C23" s="21">
        <v>2406673.5085968538</v>
      </c>
    </row>
    <row r="24" spans="1:3">
      <c r="A24" s="20">
        <v>44834</v>
      </c>
      <c r="B24" s="23" t="s">
        <v>80</v>
      </c>
      <c r="C24" s="21">
        <v>2446296.2949397503</v>
      </c>
    </row>
    <row r="25" spans="1:3">
      <c r="A25" s="20">
        <v>44926</v>
      </c>
      <c r="B25" s="23" t="s">
        <v>81</v>
      </c>
      <c r="C25" s="21">
        <v>2483878.881738883</v>
      </c>
    </row>
    <row r="26" spans="1:3">
      <c r="A26" s="20">
        <v>45016</v>
      </c>
      <c r="B26" s="23" t="s">
        <v>82</v>
      </c>
      <c r="C26" s="21">
        <v>2529138.8147165771</v>
      </c>
    </row>
    <row r="27" spans="1:3">
      <c r="A27" s="20">
        <v>45107</v>
      </c>
      <c r="B27" s="23" t="s">
        <v>83</v>
      </c>
      <c r="C27" s="21">
        <v>2628733.0461711469</v>
      </c>
    </row>
    <row r="28" spans="1:3">
      <c r="A28" s="20">
        <v>45199</v>
      </c>
      <c r="B28" s="23" t="s">
        <v>84</v>
      </c>
      <c r="C28" s="21">
        <v>2665826.2489779131</v>
      </c>
    </row>
    <row r="29" spans="1:3">
      <c r="A29" s="20">
        <v>45291</v>
      </c>
      <c r="B29" s="23" t="s">
        <v>85</v>
      </c>
      <c r="C29" s="21">
        <v>2681428.5650254097</v>
      </c>
    </row>
    <row r="30" spans="1:3">
      <c r="A30" s="20">
        <v>45382</v>
      </c>
      <c r="B30" s="23" t="s">
        <v>86</v>
      </c>
      <c r="C30" s="21">
        <v>2766965.1967203631</v>
      </c>
    </row>
    <row r="31" spans="1:3">
      <c r="A31" s="20">
        <v>45473</v>
      </c>
      <c r="B31" s="23" t="s">
        <v>87</v>
      </c>
      <c r="C31" s="21">
        <v>2839244.4120638832</v>
      </c>
    </row>
    <row r="32" spans="1:3">
      <c r="A32" s="20">
        <v>45565</v>
      </c>
      <c r="B32" s="23" t="s">
        <v>88</v>
      </c>
      <c r="C32" s="21">
        <v>2906695.0814062334</v>
      </c>
    </row>
    <row r="33" spans="1:3">
      <c r="A33" s="20">
        <v>45657</v>
      </c>
      <c r="B33" s="23" t="s">
        <v>89</v>
      </c>
      <c r="C33" s="21">
        <v>2934405.6548610763</v>
      </c>
    </row>
    <row r="34" spans="1:3">
      <c r="A34" s="20">
        <v>45747</v>
      </c>
      <c r="B34" s="23" t="s">
        <v>90</v>
      </c>
      <c r="C34" s="21">
        <v>3018565.1863265038</v>
      </c>
    </row>
    <row r="35" spans="1:3">
      <c r="A35" s="20">
        <v>45838</v>
      </c>
      <c r="B35" s="23" t="s">
        <v>91</v>
      </c>
      <c r="C35" s="21">
        <v>3087698.8642407903</v>
      </c>
    </row>
    <row r="36" spans="1:3">
      <c r="A36" s="20">
        <v>45930</v>
      </c>
      <c r="B36" s="23" t="s">
        <v>92</v>
      </c>
      <c r="C36" s="21">
        <v>3144691.0225523994</v>
      </c>
    </row>
    <row r="37" spans="1:3">
      <c r="A37" s="20">
        <v>46022</v>
      </c>
      <c r="B37" s="24" t="s">
        <v>93</v>
      </c>
      <c r="C37" s="21">
        <v>3148267.0778710698</v>
      </c>
    </row>
    <row r="38" spans="1:3">
      <c r="A38" s="20">
        <v>46112</v>
      </c>
      <c r="B38" s="23" t="s">
        <v>94</v>
      </c>
      <c r="C38" s="21">
        <v>3297055.3923715702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2DC5-650F-4A42-B7CC-8F5AAD3D97EA}">
  <sheetPr codeName="Sheet8">
    <tabColor rgb="FF002060"/>
  </sheetPr>
  <dimension ref="A1:F37"/>
  <sheetViews>
    <sheetView topLeftCell="A3" zoomScale="145" zoomScaleNormal="145" workbookViewId="0">
      <selection activeCell="F37" sqref="A1:F37"/>
    </sheetView>
  </sheetViews>
  <sheetFormatPr defaultColWidth="9.109375" defaultRowHeight="10.8"/>
  <cols>
    <col min="1" max="1" width="8.6640625" style="25" bestFit="1" customWidth="1"/>
    <col min="2" max="2" width="10.6640625" style="25" bestFit="1" customWidth="1"/>
    <col min="3" max="3" width="10.6640625" style="26" bestFit="1" customWidth="1"/>
    <col min="4" max="4" width="10.88671875" style="26" bestFit="1" customWidth="1"/>
    <col min="5" max="6" width="14.6640625" style="26" bestFit="1" customWidth="1"/>
    <col min="7" max="16384" width="9.109375" style="25"/>
  </cols>
  <sheetData>
    <row r="1" spans="1:6">
      <c r="A1" s="22" t="s">
        <v>0</v>
      </c>
      <c r="B1" s="22" t="s">
        <v>57</v>
      </c>
      <c r="C1" s="24" t="s">
        <v>50</v>
      </c>
      <c r="D1" s="24" t="s">
        <v>51</v>
      </c>
      <c r="E1" s="24" t="s">
        <v>52</v>
      </c>
      <c r="F1" s="24" t="s">
        <v>53</v>
      </c>
    </row>
    <row r="2" spans="1:6">
      <c r="A2" s="23">
        <v>42825</v>
      </c>
      <c r="B2" s="23" t="s">
        <v>58</v>
      </c>
      <c r="C2" s="24">
        <v>207374</v>
      </c>
      <c r="D2" s="24">
        <v>125720</v>
      </c>
      <c r="E2" s="24">
        <v>333094</v>
      </c>
      <c r="F2" s="24">
        <v>81653</v>
      </c>
    </row>
    <row r="3" spans="1:6">
      <c r="A3" s="23">
        <v>42916</v>
      </c>
      <c r="B3" s="23" t="s">
        <v>59</v>
      </c>
      <c r="C3" s="24">
        <v>189728</v>
      </c>
      <c r="D3" s="24">
        <v>126710</v>
      </c>
      <c r="E3" s="24">
        <v>316439</v>
      </c>
      <c r="F3" s="24">
        <v>63018</v>
      </c>
    </row>
    <row r="4" spans="1:6">
      <c r="A4" s="23">
        <v>43008</v>
      </c>
      <c r="B4" s="23" t="s">
        <v>60</v>
      </c>
      <c r="C4" s="24">
        <v>196288</v>
      </c>
      <c r="D4" s="24">
        <v>123854</v>
      </c>
      <c r="E4" s="24">
        <v>320142</v>
      </c>
      <c r="F4" s="24">
        <v>72435</v>
      </c>
    </row>
    <row r="5" spans="1:6">
      <c r="A5" s="23">
        <v>43100</v>
      </c>
      <c r="B5" s="23" t="s">
        <v>61</v>
      </c>
      <c r="C5" s="24">
        <v>238491</v>
      </c>
      <c r="D5" s="24">
        <v>128162</v>
      </c>
      <c r="E5" s="24">
        <v>366653</v>
      </c>
      <c r="F5" s="24">
        <v>110328</v>
      </c>
    </row>
    <row r="6" spans="1:6">
      <c r="A6" s="23">
        <v>43190</v>
      </c>
      <c r="B6" s="23" t="s">
        <v>62</v>
      </c>
      <c r="C6" s="24">
        <v>244235</v>
      </c>
      <c r="D6" s="24">
        <v>126056</v>
      </c>
      <c r="E6" s="24">
        <v>370291</v>
      </c>
      <c r="F6" s="24">
        <v>118179</v>
      </c>
    </row>
    <row r="7" spans="1:6">
      <c r="A7" s="23">
        <v>43281</v>
      </c>
      <c r="B7" s="23" t="s">
        <v>63</v>
      </c>
      <c r="C7" s="24">
        <v>281094</v>
      </c>
      <c r="D7" s="24">
        <v>133020</v>
      </c>
      <c r="E7" s="24">
        <v>414114</v>
      </c>
      <c r="F7" s="24">
        <v>148074</v>
      </c>
    </row>
    <row r="8" spans="1:6">
      <c r="A8" s="23">
        <v>43373</v>
      </c>
      <c r="B8" s="23" t="s">
        <v>64</v>
      </c>
      <c r="C8" s="24">
        <v>288432</v>
      </c>
      <c r="D8" s="24">
        <v>128021</v>
      </c>
      <c r="E8" s="24">
        <v>416453</v>
      </c>
      <c r="F8" s="24">
        <v>160410</v>
      </c>
    </row>
    <row r="9" spans="1:6">
      <c r="A9" s="23">
        <v>43465</v>
      </c>
      <c r="B9" s="23" t="s">
        <v>65</v>
      </c>
      <c r="C9" s="24">
        <v>290140</v>
      </c>
      <c r="D9" s="24">
        <v>126896</v>
      </c>
      <c r="E9" s="24">
        <v>417036</v>
      </c>
      <c r="F9" s="24">
        <v>163244</v>
      </c>
    </row>
    <row r="10" spans="1:6">
      <c r="A10" s="23">
        <v>43555</v>
      </c>
      <c r="B10" s="23" t="s">
        <v>66</v>
      </c>
      <c r="C10" s="24">
        <v>249087</v>
      </c>
      <c r="D10" s="24">
        <v>132192</v>
      </c>
      <c r="E10" s="24">
        <v>381279</v>
      </c>
      <c r="F10" s="24">
        <v>116895</v>
      </c>
    </row>
    <row r="11" spans="1:6">
      <c r="A11" s="23">
        <v>43646</v>
      </c>
      <c r="B11" s="23" t="s">
        <v>67</v>
      </c>
      <c r="C11" s="24">
        <v>252617</v>
      </c>
      <c r="D11" s="24">
        <v>151819</v>
      </c>
      <c r="E11" s="24">
        <v>404436</v>
      </c>
      <c r="F11" s="24">
        <v>100798</v>
      </c>
    </row>
    <row r="12" spans="1:6">
      <c r="A12" s="23">
        <v>43738</v>
      </c>
      <c r="B12" s="23" t="s">
        <v>68</v>
      </c>
      <c r="C12" s="24">
        <v>235874</v>
      </c>
      <c r="D12" s="24">
        <v>145451</v>
      </c>
      <c r="E12" s="24">
        <v>381325</v>
      </c>
      <c r="F12" s="24">
        <v>90422</v>
      </c>
    </row>
    <row r="13" spans="1:6">
      <c r="A13" s="23">
        <v>43830</v>
      </c>
      <c r="B13" s="23" t="s">
        <v>69</v>
      </c>
      <c r="C13" s="24">
        <v>243434</v>
      </c>
      <c r="D13" s="24">
        <v>144900</v>
      </c>
      <c r="E13" s="24">
        <v>388334</v>
      </c>
      <c r="F13" s="24">
        <v>98535</v>
      </c>
    </row>
    <row r="14" spans="1:6">
      <c r="A14" s="23">
        <v>43921</v>
      </c>
      <c r="B14" s="23" t="s">
        <v>70</v>
      </c>
      <c r="C14" s="24">
        <v>191673</v>
      </c>
      <c r="D14" s="24">
        <v>132381</v>
      </c>
      <c r="E14" s="24">
        <v>324054</v>
      </c>
      <c r="F14" s="24">
        <v>59292</v>
      </c>
    </row>
    <row r="15" spans="1:6">
      <c r="A15" s="23">
        <v>44012</v>
      </c>
      <c r="B15" s="23" t="s">
        <v>71</v>
      </c>
      <c r="C15" s="24">
        <v>119656</v>
      </c>
      <c r="D15" s="24">
        <v>124849</v>
      </c>
      <c r="E15" s="24">
        <v>244505</v>
      </c>
      <c r="F15" s="24">
        <v>-5193</v>
      </c>
    </row>
    <row r="16" spans="1:6">
      <c r="A16" s="23">
        <v>44104</v>
      </c>
      <c r="B16" s="23" t="s">
        <v>72</v>
      </c>
      <c r="C16" s="24">
        <v>160579</v>
      </c>
      <c r="D16" s="24">
        <v>123033</v>
      </c>
      <c r="E16" s="24">
        <v>283612</v>
      </c>
      <c r="F16" s="24">
        <v>37547</v>
      </c>
    </row>
    <row r="17" spans="1:6">
      <c r="A17" s="23">
        <v>44196</v>
      </c>
      <c r="B17" s="23" t="s">
        <v>73</v>
      </c>
      <c r="C17" s="24">
        <v>180044</v>
      </c>
      <c r="D17" s="24">
        <v>137228</v>
      </c>
      <c r="E17" s="24">
        <v>317272</v>
      </c>
      <c r="F17" s="24">
        <v>42815</v>
      </c>
    </row>
    <row r="18" spans="1:6">
      <c r="A18" s="23">
        <v>44286</v>
      </c>
      <c r="B18" s="23" t="s">
        <v>74</v>
      </c>
      <c r="C18" s="24">
        <v>208032</v>
      </c>
      <c r="D18" s="24">
        <v>139392</v>
      </c>
      <c r="E18" s="24">
        <v>347424</v>
      </c>
      <c r="F18" s="24">
        <v>68640</v>
      </c>
    </row>
    <row r="19" spans="1:6">
      <c r="A19" s="23">
        <v>44377</v>
      </c>
      <c r="B19" s="23" t="s">
        <v>75</v>
      </c>
      <c r="C19" s="24">
        <v>232179</v>
      </c>
      <c r="D19" s="24">
        <v>140424</v>
      </c>
      <c r="E19" s="24">
        <v>372602</v>
      </c>
      <c r="F19" s="24">
        <v>91755</v>
      </c>
    </row>
    <row r="20" spans="1:6">
      <c r="A20" s="23">
        <v>44469</v>
      </c>
      <c r="B20" s="23" t="s">
        <v>76</v>
      </c>
      <c r="C20" s="24">
        <v>273593</v>
      </c>
      <c r="D20" s="24">
        <v>144756</v>
      </c>
      <c r="E20" s="24">
        <v>418350</v>
      </c>
      <c r="F20" s="24">
        <v>128837</v>
      </c>
    </row>
    <row r="21" spans="1:6">
      <c r="A21" s="23">
        <v>44561</v>
      </c>
      <c r="B21" s="23" t="s">
        <v>77</v>
      </c>
      <c r="C21" s="24">
        <v>321868</v>
      </c>
      <c r="D21" s="24">
        <v>148613</v>
      </c>
      <c r="E21" s="24">
        <v>470481</v>
      </c>
      <c r="F21" s="24">
        <v>173255</v>
      </c>
    </row>
    <row r="22" spans="1:6">
      <c r="A22" s="23">
        <v>44651</v>
      </c>
      <c r="B22" s="23" t="s">
        <v>78</v>
      </c>
      <c r="C22" s="24">
        <v>367104</v>
      </c>
      <c r="D22" s="24">
        <v>157905</v>
      </c>
      <c r="E22" s="24">
        <v>525008</v>
      </c>
      <c r="F22" s="24">
        <v>209199</v>
      </c>
    </row>
    <row r="23" spans="1:6">
      <c r="A23" s="23">
        <v>44742</v>
      </c>
      <c r="B23" s="23" t="s">
        <v>79</v>
      </c>
      <c r="C23" s="24">
        <v>427803</v>
      </c>
      <c r="D23" s="24">
        <v>175354</v>
      </c>
      <c r="E23" s="24">
        <v>603158</v>
      </c>
      <c r="F23" s="24">
        <v>252449</v>
      </c>
    </row>
    <row r="24" spans="1:6">
      <c r="A24" s="23">
        <v>44834</v>
      </c>
      <c r="B24" s="23" t="s">
        <v>80</v>
      </c>
      <c r="C24" s="24">
        <v>399056</v>
      </c>
      <c r="D24" s="24">
        <v>182811</v>
      </c>
      <c r="E24" s="24">
        <v>581867</v>
      </c>
      <c r="F24" s="24">
        <v>216245</v>
      </c>
    </row>
    <row r="25" spans="1:6">
      <c r="A25" s="23">
        <v>44926</v>
      </c>
      <c r="B25" s="23" t="s">
        <v>81</v>
      </c>
      <c r="C25" s="24">
        <v>347978</v>
      </c>
      <c r="D25" s="24">
        <v>195968</v>
      </c>
      <c r="E25" s="24">
        <v>543946</v>
      </c>
      <c r="F25" s="24">
        <v>152009</v>
      </c>
    </row>
    <row r="26" spans="1:6">
      <c r="A26" s="23">
        <v>45016</v>
      </c>
      <c r="B26" s="23" t="s">
        <v>82</v>
      </c>
      <c r="C26" s="24">
        <v>309460</v>
      </c>
      <c r="D26" s="24">
        <v>188954</v>
      </c>
      <c r="E26" s="24">
        <v>498414</v>
      </c>
      <c r="F26" s="24">
        <v>120506</v>
      </c>
    </row>
    <row r="27" spans="1:6">
      <c r="A27" s="23">
        <v>45107</v>
      </c>
      <c r="B27" s="23" t="s">
        <v>83</v>
      </c>
      <c r="C27" s="24">
        <v>295054</v>
      </c>
      <c r="D27" s="24">
        <v>190355</v>
      </c>
      <c r="E27" s="24">
        <v>485409</v>
      </c>
      <c r="F27" s="24">
        <v>104699</v>
      </c>
    </row>
    <row r="28" spans="1:6">
      <c r="A28" s="23">
        <v>45199</v>
      </c>
      <c r="B28" s="23" t="s">
        <v>84</v>
      </c>
      <c r="C28" s="24">
        <v>299616</v>
      </c>
      <c r="D28" s="24">
        <v>194986</v>
      </c>
      <c r="E28" s="24">
        <v>494602</v>
      </c>
      <c r="F28" s="24">
        <v>104630</v>
      </c>
    </row>
    <row r="29" spans="1:6">
      <c r="A29" s="23">
        <v>45291</v>
      </c>
      <c r="B29" s="23" t="s">
        <v>85</v>
      </c>
      <c r="C29" s="24">
        <v>295939</v>
      </c>
      <c r="D29" s="24">
        <v>201730</v>
      </c>
      <c r="E29" s="24">
        <v>497669</v>
      </c>
      <c r="F29" s="24">
        <v>94210</v>
      </c>
    </row>
    <row r="30" spans="1:6">
      <c r="A30" s="23">
        <v>45382</v>
      </c>
      <c r="B30" s="23" t="s">
        <v>86</v>
      </c>
      <c r="C30" s="24">
        <v>295164</v>
      </c>
      <c r="D30" s="24">
        <v>207615</v>
      </c>
      <c r="E30" s="24">
        <v>502779</v>
      </c>
      <c r="F30" s="24">
        <v>87549</v>
      </c>
    </row>
    <row r="31" spans="1:6">
      <c r="A31" s="23">
        <v>45473</v>
      </c>
      <c r="B31" s="23" t="s">
        <v>87</v>
      </c>
      <c r="C31" s="24">
        <v>295410</v>
      </c>
      <c r="D31" s="24">
        <v>208297</v>
      </c>
      <c r="E31" s="24">
        <v>503707</v>
      </c>
      <c r="F31" s="24">
        <v>87113</v>
      </c>
    </row>
    <row r="32" spans="1:6">
      <c r="A32" s="23">
        <v>45565</v>
      </c>
      <c r="B32" s="23" t="s">
        <v>88</v>
      </c>
      <c r="C32" s="24">
        <v>276958</v>
      </c>
      <c r="D32" s="24">
        <v>220539</v>
      </c>
      <c r="E32" s="24">
        <v>497496</v>
      </c>
      <c r="F32" s="24">
        <v>56419</v>
      </c>
    </row>
    <row r="33" spans="1:6">
      <c r="A33" s="23">
        <v>45657</v>
      </c>
      <c r="B33" s="23" t="s">
        <v>89</v>
      </c>
      <c r="C33" s="24">
        <v>278091</v>
      </c>
      <c r="D33" s="24">
        <v>236573</v>
      </c>
      <c r="E33" s="24">
        <v>514664</v>
      </c>
      <c r="F33" s="24">
        <v>41518</v>
      </c>
    </row>
    <row r="34" spans="1:6">
      <c r="A34" s="23">
        <v>45747</v>
      </c>
      <c r="B34" s="23" t="s">
        <v>90</v>
      </c>
      <c r="C34" s="24">
        <v>287089</v>
      </c>
      <c r="D34" s="24">
        <v>226386</v>
      </c>
      <c r="E34" s="24">
        <v>513475</v>
      </c>
      <c r="F34" s="24">
        <v>60702</v>
      </c>
    </row>
    <row r="35" spans="1:6">
      <c r="A35" s="23">
        <v>45838</v>
      </c>
      <c r="B35" s="23" t="s">
        <v>91</v>
      </c>
      <c r="C35" s="24">
        <v>274059</v>
      </c>
      <c r="D35" s="24">
        <v>238886</v>
      </c>
      <c r="E35" s="24">
        <v>512945</v>
      </c>
      <c r="F35" s="24">
        <v>35173</v>
      </c>
    </row>
    <row r="36" spans="1:6">
      <c r="A36" s="23">
        <v>45930</v>
      </c>
      <c r="B36" s="23" t="s">
        <v>92</v>
      </c>
      <c r="C36" s="24">
        <v>303743</v>
      </c>
      <c r="D36" s="24">
        <v>239782</v>
      </c>
      <c r="E36" s="24">
        <v>543526</v>
      </c>
      <c r="F36" s="24">
        <v>63961</v>
      </c>
    </row>
    <row r="37" spans="1:6">
      <c r="A37" s="23">
        <v>46022</v>
      </c>
      <c r="B37" s="24" t="s">
        <v>93</v>
      </c>
      <c r="C37" s="24">
        <v>300128</v>
      </c>
      <c r="D37" s="24">
        <v>247684</v>
      </c>
      <c r="E37" s="24">
        <v>547811</v>
      </c>
      <c r="F37" s="24">
        <v>52444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2BAC-022A-4048-A189-12CC58F30D08}">
  <dimension ref="A1:C37"/>
  <sheetViews>
    <sheetView zoomScale="106" workbookViewId="0">
      <selection activeCell="C1" sqref="A1:C1048576"/>
    </sheetView>
  </sheetViews>
  <sheetFormatPr defaultColWidth="8.88671875" defaultRowHeight="14.4"/>
  <cols>
    <col min="1" max="1" width="9.109375" style="22" bestFit="1" customWidth="1"/>
    <col min="2" max="2" width="10.6640625" style="22" customWidth="1"/>
    <col min="3" max="3" width="13.109375" style="22" bestFit="1" customWidth="1"/>
  </cols>
  <sheetData>
    <row r="1" spans="1:3">
      <c r="A1" s="22" t="s">
        <v>97</v>
      </c>
      <c r="B1" s="22" t="s">
        <v>57</v>
      </c>
      <c r="C1" s="22" t="s">
        <v>98</v>
      </c>
    </row>
    <row r="2" spans="1:3">
      <c r="A2" s="23">
        <v>42825</v>
      </c>
      <c r="B2" s="23" t="s">
        <v>58</v>
      </c>
      <c r="C2" s="22">
        <v>-0.6</v>
      </c>
    </row>
    <row r="3" spans="1:3">
      <c r="A3" s="23">
        <v>42916</v>
      </c>
      <c r="B3" s="23" t="s">
        <v>59</v>
      </c>
      <c r="C3" s="22">
        <v>-0.6</v>
      </c>
    </row>
    <row r="4" spans="1:3">
      <c r="A4" s="23">
        <v>43008</v>
      </c>
      <c r="B4" s="23" t="s">
        <v>60</v>
      </c>
      <c r="C4" s="22">
        <v>-0.8</v>
      </c>
    </row>
    <row r="5" spans="1:3">
      <c r="A5" s="23">
        <v>43100</v>
      </c>
      <c r="B5" s="23" t="s">
        <v>61</v>
      </c>
      <c r="C5" s="22">
        <v>-1.4</v>
      </c>
    </row>
    <row r="6" spans="1:3">
      <c r="A6" s="23">
        <v>43190</v>
      </c>
      <c r="B6" s="23" t="s">
        <v>62</v>
      </c>
      <c r="C6" s="22">
        <v>2.9</v>
      </c>
    </row>
    <row r="7" spans="1:3">
      <c r="A7" s="23">
        <v>43281</v>
      </c>
      <c r="B7" s="23" t="s">
        <v>63</v>
      </c>
      <c r="C7" s="22">
        <v>2.2999999999999998</v>
      </c>
    </row>
    <row r="8" spans="1:3">
      <c r="A8" s="23">
        <v>43373</v>
      </c>
      <c r="B8" s="23" t="s">
        <v>64</v>
      </c>
      <c r="C8" s="22">
        <v>2.2000000000000002</v>
      </c>
    </row>
    <row r="9" spans="1:3">
      <c r="A9" s="23">
        <v>43465</v>
      </c>
      <c r="B9" s="23" t="s">
        <v>65</v>
      </c>
      <c r="C9" s="22">
        <v>2.5</v>
      </c>
    </row>
    <row r="10" spans="1:3">
      <c r="A10" s="23">
        <v>43555</v>
      </c>
      <c r="B10" s="23" t="s">
        <v>66</v>
      </c>
      <c r="C10" s="22">
        <v>-2.1</v>
      </c>
    </row>
    <row r="11" spans="1:3">
      <c r="A11" s="23">
        <v>43646</v>
      </c>
      <c r="B11" s="23" t="s">
        <v>67</v>
      </c>
      <c r="C11" s="22">
        <v>-1.6</v>
      </c>
    </row>
    <row r="12" spans="1:3">
      <c r="A12" s="23">
        <v>43738</v>
      </c>
      <c r="B12" s="23" t="s">
        <v>68</v>
      </c>
      <c r="C12" s="22">
        <v>-1.1000000000000001</v>
      </c>
    </row>
    <row r="13" spans="1:3">
      <c r="A13" s="23">
        <v>43830</v>
      </c>
      <c r="B13" s="23" t="s">
        <v>69</v>
      </c>
      <c r="C13" s="22">
        <v>0</v>
      </c>
    </row>
    <row r="14" spans="1:3">
      <c r="A14" s="23">
        <v>43921</v>
      </c>
      <c r="B14" s="23" t="s">
        <v>70</v>
      </c>
      <c r="C14" s="22">
        <v>0.9</v>
      </c>
    </row>
    <row r="15" spans="1:3">
      <c r="A15" s="23">
        <v>44012</v>
      </c>
      <c r="B15" s="23" t="s">
        <v>71</v>
      </c>
      <c r="C15" s="22">
        <v>0.8</v>
      </c>
    </row>
    <row r="16" spans="1:3">
      <c r="A16" s="23">
        <v>44104</v>
      </c>
      <c r="B16" s="23" t="s">
        <v>72</v>
      </c>
      <c r="C16" s="22">
        <v>6.1</v>
      </c>
    </row>
    <row r="17" spans="1:3">
      <c r="A17" s="23">
        <v>44196</v>
      </c>
      <c r="B17" s="23" t="s">
        <v>73</v>
      </c>
      <c r="C17" s="22">
        <v>5.6</v>
      </c>
    </row>
    <row r="18" spans="1:3">
      <c r="A18" s="23">
        <v>44286</v>
      </c>
      <c r="B18" s="23" t="s">
        <v>74</v>
      </c>
      <c r="C18" s="22">
        <v>5.3</v>
      </c>
    </row>
    <row r="19" spans="1:3">
      <c r="A19" s="23">
        <v>44377</v>
      </c>
      <c r="B19" s="23" t="s">
        <v>75</v>
      </c>
      <c r="C19" s="22">
        <v>5.7</v>
      </c>
    </row>
    <row r="20" spans="1:3">
      <c r="A20" s="23">
        <v>44469</v>
      </c>
      <c r="B20" s="23" t="s">
        <v>76</v>
      </c>
      <c r="C20" s="22">
        <v>0.4</v>
      </c>
    </row>
    <row r="21" spans="1:3">
      <c r="A21" s="23">
        <v>44561</v>
      </c>
      <c r="B21" s="23" t="s">
        <v>77</v>
      </c>
      <c r="C21" s="22">
        <v>1.1000000000000001</v>
      </c>
    </row>
    <row r="22" spans="1:3">
      <c r="A22" s="23">
        <v>44651</v>
      </c>
      <c r="B22" s="23" t="s">
        <v>78</v>
      </c>
      <c r="C22" s="22">
        <v>1.6</v>
      </c>
    </row>
    <row r="23" spans="1:3">
      <c r="A23" s="23">
        <v>44742</v>
      </c>
      <c r="B23" s="23" t="s">
        <v>79</v>
      </c>
      <c r="C23" s="22">
        <v>2.2999999999999998</v>
      </c>
    </row>
    <row r="24" spans="1:3">
      <c r="A24" s="23">
        <v>44834</v>
      </c>
      <c r="B24" s="23" t="s">
        <v>80</v>
      </c>
      <c r="C24" s="22">
        <v>2.9</v>
      </c>
    </row>
    <row r="25" spans="1:3">
      <c r="A25" s="23">
        <v>44926</v>
      </c>
      <c r="B25" s="23" t="s">
        <v>81</v>
      </c>
      <c r="C25" s="22">
        <v>3.1</v>
      </c>
    </row>
    <row r="26" spans="1:3">
      <c r="A26" s="23">
        <v>45016</v>
      </c>
      <c r="B26" s="23" t="s">
        <v>82</v>
      </c>
      <c r="C26" s="22">
        <v>3</v>
      </c>
    </row>
    <row r="27" spans="1:3">
      <c r="A27" s="23">
        <v>45107</v>
      </c>
      <c r="B27" s="23" t="s">
        <v>83</v>
      </c>
      <c r="C27" s="22">
        <v>2.7</v>
      </c>
    </row>
    <row r="28" spans="1:3">
      <c r="A28" s="23">
        <v>45199</v>
      </c>
      <c r="B28" s="23" t="s">
        <v>84</v>
      </c>
      <c r="C28" s="22">
        <v>2</v>
      </c>
    </row>
    <row r="29" spans="1:3">
      <c r="A29" s="23">
        <v>45291</v>
      </c>
      <c r="B29" s="23" t="s">
        <v>85</v>
      </c>
      <c r="C29" s="22">
        <v>1.6</v>
      </c>
    </row>
    <row r="30" spans="1:3">
      <c r="A30" s="23">
        <v>45382</v>
      </c>
      <c r="B30" s="23" t="s">
        <v>86</v>
      </c>
      <c r="C30" s="22">
        <v>1.7</v>
      </c>
    </row>
    <row r="31" spans="1:3">
      <c r="A31" s="23">
        <v>45473</v>
      </c>
      <c r="B31" s="23" t="s">
        <v>87</v>
      </c>
      <c r="C31" s="22">
        <v>1.5</v>
      </c>
    </row>
    <row r="32" spans="1:3">
      <c r="A32" s="23">
        <v>45565</v>
      </c>
      <c r="B32" s="23" t="s">
        <v>88</v>
      </c>
      <c r="C32" s="22">
        <v>1.6</v>
      </c>
    </row>
    <row r="33" spans="1:3">
      <c r="A33" s="23">
        <v>45657</v>
      </c>
      <c r="B33" s="23" t="s">
        <v>89</v>
      </c>
      <c r="C33" s="22">
        <v>1.9</v>
      </c>
    </row>
    <row r="34" spans="1:3">
      <c r="A34" s="23">
        <v>45747</v>
      </c>
      <c r="B34" s="23" t="s">
        <v>90</v>
      </c>
      <c r="C34" s="22">
        <v>2.1</v>
      </c>
    </row>
    <row r="35" spans="1:3">
      <c r="A35" s="23">
        <v>45838</v>
      </c>
      <c r="B35" s="23" t="s">
        <v>91</v>
      </c>
      <c r="C35" s="22">
        <v>2.2999999999999998</v>
      </c>
    </row>
    <row r="36" spans="1:3">
      <c r="A36" s="23">
        <v>45930</v>
      </c>
      <c r="B36" s="23" t="s">
        <v>92</v>
      </c>
      <c r="C36" s="22">
        <v>2.1</v>
      </c>
    </row>
    <row r="37" spans="1:3">
      <c r="A37" s="23">
        <v>46022</v>
      </c>
      <c r="B37" s="24" t="s">
        <v>93</v>
      </c>
      <c r="C37" s="22">
        <v>1.9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3CBF-C5A8-4F01-B78C-578C6A0C683F}">
  <sheetPr codeName="Sheet9">
    <tabColor rgb="FF0070C0"/>
  </sheetPr>
  <dimension ref="A1:L38"/>
  <sheetViews>
    <sheetView tabSelected="1" topLeftCell="C1" zoomScale="130" zoomScaleNormal="130" workbookViewId="0">
      <selection activeCell="B2" sqref="B2"/>
    </sheetView>
  </sheetViews>
  <sheetFormatPr defaultColWidth="9.109375" defaultRowHeight="14.4"/>
  <cols>
    <col min="1" max="1" width="11.33203125" style="1" bestFit="1" customWidth="1"/>
    <col min="2" max="2" width="9.88671875" style="4" bestFit="1" customWidth="1"/>
    <col min="3" max="3" width="9.88671875" style="4" customWidth="1"/>
    <col min="4" max="4" width="12.44140625" style="4" bestFit="1" customWidth="1"/>
    <col min="5" max="5" width="12.44140625" style="4" customWidth="1"/>
    <col min="6" max="6" width="8.109375" style="4" bestFit="1" customWidth="1"/>
    <col min="7" max="7" width="4.88671875" style="4" bestFit="1" customWidth="1"/>
    <col min="8" max="8" width="10.88671875" style="4" bestFit="1" customWidth="1"/>
    <col min="9" max="9" width="9" style="4" bestFit="1" customWidth="1"/>
    <col min="10" max="10" width="14.44140625" style="4" bestFit="1" customWidth="1"/>
    <col min="11" max="11" width="9.88671875" style="3" bestFit="1" customWidth="1"/>
    <col min="12" max="12" width="12" style="3" bestFit="1" customWidth="1"/>
    <col min="13" max="16384" width="9.109375" style="3"/>
  </cols>
  <sheetData>
    <row r="1" spans="1:12">
      <c r="A1" s="7" t="s">
        <v>0</v>
      </c>
      <c r="B1" s="7" t="s">
        <v>155</v>
      </c>
      <c r="C1" s="7" t="s">
        <v>42</v>
      </c>
      <c r="D1" s="7" t="s">
        <v>25</v>
      </c>
      <c r="E1" s="7" t="s">
        <v>49</v>
      </c>
      <c r="F1" s="7" t="s">
        <v>15</v>
      </c>
      <c r="G1" s="7" t="s">
        <v>26</v>
      </c>
      <c r="H1" s="7" t="s">
        <v>28</v>
      </c>
      <c r="I1" s="7" t="s">
        <v>29</v>
      </c>
      <c r="J1" s="7" t="s">
        <v>30</v>
      </c>
      <c r="K1" s="7" t="s">
        <v>33</v>
      </c>
      <c r="L1" s="7" t="s">
        <v>50</v>
      </c>
    </row>
    <row r="2" spans="1:12" ht="15" customHeight="1">
      <c r="A2" s="6" cm="1">
        <f t="array" ref="A2:A37">_xlfn._xlws.FILTER(GDP_By_Main_Economic_Activity!A2:A1000, GDP_By_Main_Economic_Activity!A2:A1000&lt;&gt;"")</f>
        <v>42825</v>
      </c>
      <c r="B2" s="2" cm="1">
        <f t="array" ref="B2:B37">_xlfn._xlws.FILTER(GDP_By_Main_Economic_Activity[Gross Domestic Product], GDP_By_Main_Economic_Activity[Gross Domestic Product]&lt;&gt;"")</f>
        <v>932702</v>
      </c>
      <c r="C2" s="2" cm="1">
        <f t="array" ref="C2:C37">_xlfn._xlws.FILTER(Government_Revenues[Oil Revenue], Government_Revenues[Oil Revenue]&lt;&gt;"")</f>
        <v>115100</v>
      </c>
      <c r="D2" s="2" cm="1">
        <f t="array" ref="D2:D37">_xlfn._xlws.FILTER(Government_Revenues[Non Oil Revenues], Government_Revenues[Non Oil Revenues]&lt;&gt;"")</f>
        <v>29000</v>
      </c>
      <c r="E2" s="2" cm="1">
        <f t="array" ref="E2:E37">_xlfn._xlws.FILTER(Government_Expenditures[Total Exp], Government_Expenditures[Total Exp]&lt;&gt;"")</f>
        <v>170300</v>
      </c>
      <c r="F2" s="2" cm="1">
        <f t="array" ref="F2:F38">_xlfn._xlws.FILTER(Government_Expenditures[CAPEX], Government_Expenditures[CAPEX]&lt;&gt;"")</f>
        <v>9300</v>
      </c>
      <c r="G2" s="5" cm="1">
        <f t="array" ref="G2:G38">_xlfn._xlws.FILTER(PMI_Quarterly[PMI], PMI_Quarterly[PMI]&lt;&gt;"")</f>
        <v>56.7</v>
      </c>
      <c r="H2" s="2" cm="1">
        <f t="array" ref="H2:H38">_xlfn._xlws.FILTER(POS_Quarterly[Value], POS_Quarterly[Value]&lt;&gt;"")</f>
        <v>15358633.333333334</v>
      </c>
      <c r="I2" s="5" cm="1">
        <f t="array" ref="I2:I38">_xlfn._xlws.FILTER(Crude_Oil_Quarterly[Price], Crude_Oil_Quarterly[Price]&lt;&gt;"")</f>
        <v>53.883333333333333</v>
      </c>
      <c r="J2" s="2" cm="1">
        <f t="array" ref="J2:J38">_xlfn._xlws.FILTER(Crude_Oil_Quarterly[Production], Crude_Oil_Quarterly[Production]&lt;&gt;"")</f>
        <v>9898</v>
      </c>
      <c r="K2" s="2" cm="1">
        <f t="array" ref="K2:K38">_xlfn._xlws.FILTER(M3_Quarterly[M3], M3_Quarterly[M3]&lt;&gt;"")</f>
        <v>1779430.4491885367</v>
      </c>
      <c r="L2" s="2" cm="1">
        <f t="array" ref="L2:L37">(_xlfn._xlws.FILTER(balance_of_payments!B30:B500, (balance_of_payments!C30:C500&lt;&gt;"") * (balance_of_payments!B30:B500&lt;&gt;"")))/1000</f>
        <v>207398.769</v>
      </c>
    </row>
    <row r="3" spans="1:12" ht="15" customHeight="1">
      <c r="A3" s="6">
        <v>42916</v>
      </c>
      <c r="B3" s="2">
        <v>922635</v>
      </c>
      <c r="C3" s="2">
        <v>101000</v>
      </c>
      <c r="D3" s="2">
        <v>62900</v>
      </c>
      <c r="E3" s="2">
        <v>210400</v>
      </c>
      <c r="F3" s="2">
        <v>34700</v>
      </c>
      <c r="G3" s="5">
        <v>55.4</v>
      </c>
      <c r="H3" s="2">
        <v>17061200</v>
      </c>
      <c r="I3" s="5">
        <v>50.1</v>
      </c>
      <c r="J3" s="2">
        <v>9948</v>
      </c>
      <c r="K3" s="2">
        <v>1803423.0185188733</v>
      </c>
      <c r="L3" s="2">
        <v>189753.38500000001</v>
      </c>
    </row>
    <row r="4" spans="1:12" ht="15" customHeight="1">
      <c r="A4" s="6">
        <v>43008</v>
      </c>
      <c r="B4" s="2">
        <v>933711</v>
      </c>
      <c r="C4" s="2">
        <v>94300</v>
      </c>
      <c r="D4" s="2">
        <v>47800</v>
      </c>
      <c r="E4" s="2">
        <v>190900</v>
      </c>
      <c r="F4" s="2">
        <v>24500</v>
      </c>
      <c r="G4" s="5">
        <v>55.7</v>
      </c>
      <c r="H4" s="2">
        <v>16125500</v>
      </c>
      <c r="I4" s="5">
        <v>52.110000000000007</v>
      </c>
      <c r="J4" s="2">
        <v>10005</v>
      </c>
      <c r="K4" s="2">
        <v>1804225.8746717901</v>
      </c>
      <c r="L4" s="2">
        <v>196313</v>
      </c>
    </row>
    <row r="5" spans="1:12" ht="15" customHeight="1">
      <c r="A5" s="6">
        <v>43100</v>
      </c>
      <c r="B5" s="2">
        <v>985165</v>
      </c>
      <c r="C5" s="2">
        <v>129500</v>
      </c>
      <c r="D5" s="2">
        <v>112000</v>
      </c>
      <c r="E5" s="2">
        <v>356400</v>
      </c>
      <c r="F5" s="2">
        <v>101000</v>
      </c>
      <c r="G5" s="5">
        <v>56.8</v>
      </c>
      <c r="H5" s="2">
        <v>17518700</v>
      </c>
      <c r="I5" s="5">
        <v>61.53</v>
      </c>
      <c r="J5" s="2">
        <v>9992.6666666666661</v>
      </c>
      <c r="K5" s="2">
        <v>1790167.2637482134</v>
      </c>
      <c r="L5" s="2">
        <v>238516</v>
      </c>
    </row>
    <row r="6" spans="1:12">
      <c r="A6" s="6">
        <v>43190</v>
      </c>
      <c r="B6" s="2">
        <v>958113</v>
      </c>
      <c r="C6" s="2">
        <v>113900</v>
      </c>
      <c r="D6" s="2">
        <v>52400</v>
      </c>
      <c r="E6" s="2">
        <v>200600</v>
      </c>
      <c r="F6" s="2">
        <v>25300</v>
      </c>
      <c r="G6" s="5">
        <v>53</v>
      </c>
      <c r="H6" s="2">
        <v>18472100</v>
      </c>
      <c r="I6" s="5">
        <v>66.806666666666658</v>
      </c>
      <c r="J6" s="2">
        <v>9955.3333333333339</v>
      </c>
      <c r="K6" s="2">
        <v>1802989.4753694499</v>
      </c>
      <c r="L6" s="2">
        <v>244247</v>
      </c>
    </row>
    <row r="7" spans="1:12">
      <c r="A7" s="6">
        <v>43281</v>
      </c>
      <c r="B7" s="2">
        <v>958245</v>
      </c>
      <c r="C7" s="2">
        <v>184200</v>
      </c>
      <c r="D7" s="2">
        <v>89400</v>
      </c>
      <c r="E7" s="2">
        <v>281000</v>
      </c>
      <c r="F7" s="2">
        <v>53900</v>
      </c>
      <c r="G7" s="5">
        <v>53.8</v>
      </c>
      <c r="H7" s="2">
        <v>20163900</v>
      </c>
      <c r="I7" s="5">
        <v>74.38333333333334</v>
      </c>
      <c r="J7" s="2">
        <v>10116.333333333334</v>
      </c>
      <c r="K7" s="2">
        <v>1802537.1385572965</v>
      </c>
      <c r="L7" s="2">
        <v>281109</v>
      </c>
    </row>
    <row r="8" spans="1:12">
      <c r="A8" s="6">
        <v>43373</v>
      </c>
      <c r="B8" s="2">
        <v>962710</v>
      </c>
      <c r="C8" s="2">
        <v>154000</v>
      </c>
      <c r="D8" s="2">
        <v>69300</v>
      </c>
      <c r="E8" s="2">
        <v>230500</v>
      </c>
      <c r="F8" s="2">
        <v>46300</v>
      </c>
      <c r="G8" s="5">
        <v>54.8</v>
      </c>
      <c r="H8" s="2">
        <v>20220500</v>
      </c>
      <c r="I8" s="5">
        <v>75.239999999999995</v>
      </c>
      <c r="J8" s="2">
        <v>10437</v>
      </c>
      <c r="K8" s="2">
        <v>1815545.3649620935</v>
      </c>
      <c r="L8" s="2">
        <v>288445</v>
      </c>
    </row>
    <row r="9" spans="1:12">
      <c r="A9" s="6">
        <v>43465</v>
      </c>
      <c r="B9" s="2">
        <v>1016937</v>
      </c>
      <c r="C9" s="2">
        <v>158000</v>
      </c>
      <c r="D9" s="2">
        <v>94000</v>
      </c>
      <c r="E9" s="2">
        <v>318000</v>
      </c>
      <c r="F9" s="2">
        <v>70000</v>
      </c>
      <c r="G9" s="5">
        <v>55.9</v>
      </c>
      <c r="H9" s="2">
        <v>21362166.666666668</v>
      </c>
      <c r="I9" s="5">
        <v>67.90666666666668</v>
      </c>
      <c r="J9" s="2">
        <v>10757</v>
      </c>
      <c r="K9" s="2">
        <v>1829630.8136773698</v>
      </c>
      <c r="L9" s="2">
        <v>290151</v>
      </c>
    </row>
    <row r="10" spans="1:12">
      <c r="A10" s="6">
        <v>43555</v>
      </c>
      <c r="B10" s="2">
        <v>985357</v>
      </c>
      <c r="C10" s="2">
        <v>169100</v>
      </c>
      <c r="D10" s="2">
        <v>76300</v>
      </c>
      <c r="E10" s="2">
        <v>217600</v>
      </c>
      <c r="F10" s="2">
        <v>21700</v>
      </c>
      <c r="G10" s="5">
        <v>56.5</v>
      </c>
      <c r="H10" s="2">
        <v>23405433.333333332</v>
      </c>
      <c r="I10" s="5">
        <v>63.196666666666665</v>
      </c>
      <c r="J10" s="2">
        <v>10055.666666666666</v>
      </c>
      <c r="K10" s="2">
        <v>1829866.9221851833</v>
      </c>
      <c r="L10" s="2">
        <v>249100.277</v>
      </c>
    </row>
    <row r="11" spans="1:12">
      <c r="A11" s="6">
        <v>43646</v>
      </c>
      <c r="B11" s="2">
        <v>974442</v>
      </c>
      <c r="C11" s="2">
        <v>174400</v>
      </c>
      <c r="D11" s="2">
        <v>86300</v>
      </c>
      <c r="E11" s="2">
        <v>267200</v>
      </c>
      <c r="F11" s="2">
        <v>48800</v>
      </c>
      <c r="G11" s="5">
        <v>57.2</v>
      </c>
      <c r="H11" s="2">
        <v>25805533.333333332</v>
      </c>
      <c r="I11" s="5">
        <v>68.543333333333337</v>
      </c>
      <c r="J11" s="2">
        <v>9731.3333333333339</v>
      </c>
      <c r="K11" s="2">
        <v>1871915.8788580436</v>
      </c>
      <c r="L11" s="2">
        <v>252631.01</v>
      </c>
    </row>
    <row r="12" spans="1:12">
      <c r="A12" s="6">
        <v>43738</v>
      </c>
      <c r="B12" s="2">
        <v>976512</v>
      </c>
      <c r="C12" s="2">
        <v>131800</v>
      </c>
      <c r="D12" s="2">
        <v>62100</v>
      </c>
      <c r="E12" s="2">
        <v>203600</v>
      </c>
      <c r="F12" s="2">
        <v>18600</v>
      </c>
      <c r="G12" s="5">
        <v>57</v>
      </c>
      <c r="H12" s="2">
        <v>25850400</v>
      </c>
      <c r="I12" s="5">
        <v>62.083333333333336</v>
      </c>
      <c r="J12" s="2">
        <v>9528</v>
      </c>
      <c r="K12" s="2">
        <v>1885258.9853093836</v>
      </c>
      <c r="L12" s="2">
        <v>235886.726</v>
      </c>
    </row>
    <row r="13" spans="1:12">
      <c r="A13" s="6">
        <v>43830</v>
      </c>
      <c r="B13" s="2">
        <v>1024040</v>
      </c>
      <c r="C13" s="2">
        <v>118800</v>
      </c>
      <c r="D13" s="2">
        <v>120300</v>
      </c>
      <c r="E13" s="2">
        <v>371400</v>
      </c>
      <c r="F13" s="2">
        <v>82700</v>
      </c>
      <c r="G13" s="5">
        <v>57.7</v>
      </c>
      <c r="H13" s="2">
        <v>27472033.333333332</v>
      </c>
      <c r="I13" s="5">
        <v>63.410000000000004</v>
      </c>
      <c r="J13" s="2">
        <v>9824</v>
      </c>
      <c r="K13" s="2">
        <v>1934567.7888489934</v>
      </c>
      <c r="L13" s="2">
        <v>243446.351</v>
      </c>
    </row>
    <row r="14" spans="1:12">
      <c r="A14" s="6">
        <v>43921</v>
      </c>
      <c r="B14" s="2">
        <v>972107</v>
      </c>
      <c r="C14" s="2">
        <v>128800</v>
      </c>
      <c r="D14" s="2">
        <v>63300</v>
      </c>
      <c r="E14" s="2">
        <v>226200</v>
      </c>
      <c r="F14" s="2">
        <v>20700</v>
      </c>
      <c r="G14" s="5">
        <v>49.9</v>
      </c>
      <c r="H14" s="2">
        <v>28162133.333333332</v>
      </c>
      <c r="I14" s="5">
        <v>50.44</v>
      </c>
      <c r="J14" s="2">
        <v>9733.3333333333339</v>
      </c>
      <c r="K14" s="2">
        <v>1975413.4976180133</v>
      </c>
      <c r="L14" s="2">
        <v>191685</v>
      </c>
    </row>
    <row r="15" spans="1:12">
      <c r="A15" s="6">
        <v>44012</v>
      </c>
      <c r="B15" s="2">
        <v>903140</v>
      </c>
      <c r="C15" s="2">
        <v>94800</v>
      </c>
      <c r="D15" s="2">
        <v>39300</v>
      </c>
      <c r="E15" s="2">
        <v>243200</v>
      </c>
      <c r="F15" s="2">
        <v>31900</v>
      </c>
      <c r="G15" s="5">
        <v>46.7</v>
      </c>
      <c r="H15" s="2">
        <v>25472133.333333332</v>
      </c>
      <c r="I15" s="5">
        <v>30.353333333333335</v>
      </c>
      <c r="J15" s="2">
        <v>9207.6666666666661</v>
      </c>
      <c r="K15" s="2">
        <v>2054231.5080380666</v>
      </c>
      <c r="L15" s="2">
        <v>119665</v>
      </c>
    </row>
    <row r="16" spans="1:12">
      <c r="A16" s="6">
        <v>44104</v>
      </c>
      <c r="B16" s="2">
        <v>940499</v>
      </c>
      <c r="C16" s="2">
        <v>103300</v>
      </c>
      <c r="D16" s="2">
        <v>112300</v>
      </c>
      <c r="E16" s="2">
        <v>256300</v>
      </c>
      <c r="F16" s="2">
        <v>28900</v>
      </c>
      <c r="G16" s="5">
        <v>49.8</v>
      </c>
      <c r="H16" s="2">
        <v>33738733.333333336</v>
      </c>
      <c r="I16" s="5">
        <v>42.963333333333331</v>
      </c>
      <c r="J16" s="2">
        <v>8751.6666666666661</v>
      </c>
      <c r="K16" s="2">
        <v>2070866.0280889701</v>
      </c>
      <c r="L16" s="2">
        <v>160586</v>
      </c>
    </row>
    <row r="17" spans="1:12">
      <c r="A17" s="6">
        <v>44196</v>
      </c>
      <c r="B17" s="2">
        <v>993922</v>
      </c>
      <c r="C17" s="2">
        <v>115100</v>
      </c>
      <c r="D17" s="2">
        <v>125100</v>
      </c>
      <c r="E17" s="2">
        <v>351000</v>
      </c>
      <c r="F17" s="2">
        <v>68200</v>
      </c>
      <c r="G17" s="5">
        <v>54.2</v>
      </c>
      <c r="H17" s="2">
        <v>36028800</v>
      </c>
      <c r="I17" s="5">
        <v>44.47</v>
      </c>
      <c r="J17" s="2">
        <v>8961</v>
      </c>
      <c r="K17" s="2">
        <v>2131791.7394316304</v>
      </c>
      <c r="L17" s="2">
        <v>180054</v>
      </c>
    </row>
    <row r="18" spans="1:12">
      <c r="A18" s="6">
        <v>44286</v>
      </c>
      <c r="B18" s="2">
        <v>988793</v>
      </c>
      <c r="C18" s="2">
        <v>116600</v>
      </c>
      <c r="D18" s="2">
        <v>88200</v>
      </c>
      <c r="E18" s="2">
        <v>212200</v>
      </c>
      <c r="F18" s="2">
        <v>26300</v>
      </c>
      <c r="G18" s="5">
        <v>54.8</v>
      </c>
      <c r="H18" s="2">
        <v>41597200</v>
      </c>
      <c r="I18" s="5">
        <v>60.82</v>
      </c>
      <c r="J18" s="2">
        <v>8453</v>
      </c>
      <c r="K18" s="2">
        <v>2158600.6206785603</v>
      </c>
      <c r="L18" s="2">
        <v>208045</v>
      </c>
    </row>
    <row r="19" spans="1:12">
      <c r="A19" s="6">
        <v>44377</v>
      </c>
      <c r="B19" s="2">
        <v>965383</v>
      </c>
      <c r="C19" s="2">
        <v>132100</v>
      </c>
      <c r="D19" s="2">
        <v>116000</v>
      </c>
      <c r="E19" s="2">
        <v>252700</v>
      </c>
      <c r="F19" s="2">
        <v>32600</v>
      </c>
      <c r="G19" s="5">
        <v>56</v>
      </c>
      <c r="H19" s="2">
        <v>43805266.666666664</v>
      </c>
      <c r="I19" s="5">
        <v>68.833333333333329</v>
      </c>
      <c r="J19" s="2">
        <v>8501.3333333333339</v>
      </c>
      <c r="K19" s="2">
        <v>2218988.8126260033</v>
      </c>
      <c r="L19" s="2">
        <v>232190</v>
      </c>
    </row>
    <row r="20" spans="1:12">
      <c r="A20" s="6">
        <v>44469</v>
      </c>
      <c r="B20" s="2">
        <v>1020704</v>
      </c>
      <c r="C20" s="2">
        <v>147900</v>
      </c>
      <c r="D20" s="2">
        <v>95500</v>
      </c>
      <c r="E20" s="2">
        <v>236700</v>
      </c>
      <c r="F20" s="2">
        <v>30600</v>
      </c>
      <c r="G20" s="5">
        <v>56.2</v>
      </c>
      <c r="H20" s="2">
        <v>43138833.333333336</v>
      </c>
      <c r="I20" s="5">
        <v>73.470000000000013</v>
      </c>
      <c r="J20" s="2">
        <v>9523</v>
      </c>
      <c r="K20" s="2">
        <v>2250771.8324367101</v>
      </c>
      <c r="L20" s="2">
        <v>273617</v>
      </c>
    </row>
    <row r="21" spans="1:12">
      <c r="A21" s="6">
        <v>44561</v>
      </c>
      <c r="B21" s="2">
        <v>1083163</v>
      </c>
      <c r="C21" s="2">
        <v>169200</v>
      </c>
      <c r="D21" s="2">
        <v>100900</v>
      </c>
      <c r="E21" s="2">
        <v>338100</v>
      </c>
      <c r="F21" s="2">
        <v>61000</v>
      </c>
      <c r="G21" s="5">
        <v>56.2</v>
      </c>
      <c r="H21" s="2">
        <v>46805566.666666664</v>
      </c>
      <c r="I21" s="5">
        <v>79.586666666666659</v>
      </c>
      <c r="J21" s="2">
        <v>9849.6666666666661</v>
      </c>
      <c r="K21" s="2">
        <v>2285239.3108454798</v>
      </c>
      <c r="L21" s="2">
        <v>321892</v>
      </c>
    </row>
    <row r="22" spans="1:12">
      <c r="A22" s="6">
        <v>44651</v>
      </c>
      <c r="B22" s="2">
        <v>1099270</v>
      </c>
      <c r="C22" s="2">
        <v>183700</v>
      </c>
      <c r="D22" s="2">
        <v>94260</v>
      </c>
      <c r="E22" s="2">
        <v>220470</v>
      </c>
      <c r="F22" s="2">
        <v>37970</v>
      </c>
      <c r="G22" s="5">
        <v>55.4</v>
      </c>
      <c r="H22" s="2">
        <v>49472033.333333336</v>
      </c>
      <c r="I22" s="5">
        <v>100.29666666666667</v>
      </c>
      <c r="J22" s="2">
        <v>10126.666666666666</v>
      </c>
      <c r="K22" s="2">
        <v>2332366.0365014765</v>
      </c>
      <c r="L22" s="2">
        <v>367115.674</v>
      </c>
    </row>
    <row r="23" spans="1:12">
      <c r="A23" s="6">
        <v>44742</v>
      </c>
      <c r="B23" s="2">
        <v>1105314</v>
      </c>
      <c r="C23" s="2">
        <v>250360</v>
      </c>
      <c r="D23" s="2">
        <v>120010</v>
      </c>
      <c r="E23" s="2">
        <v>292460</v>
      </c>
      <c r="F23" s="2">
        <v>47900</v>
      </c>
      <c r="G23" s="5">
        <v>56.1</v>
      </c>
      <c r="H23" s="2">
        <v>51138733.333333336</v>
      </c>
      <c r="I23" s="5">
        <v>113.54333333333334</v>
      </c>
      <c r="J23" s="2">
        <v>10453</v>
      </c>
      <c r="K23" s="2">
        <v>2406673.5085968538</v>
      </c>
      <c r="L23" s="2">
        <v>427826.37900000002</v>
      </c>
    </row>
    <row r="24" spans="1:12">
      <c r="A24" s="6">
        <v>44834</v>
      </c>
      <c r="B24" s="2">
        <v>1153237</v>
      </c>
      <c r="C24" s="2">
        <v>229020</v>
      </c>
      <c r="D24" s="2">
        <v>82550</v>
      </c>
      <c r="E24" s="2">
        <v>287720</v>
      </c>
      <c r="F24" s="2">
        <v>52100</v>
      </c>
      <c r="G24" s="5">
        <v>56.9</v>
      </c>
      <c r="H24" s="2">
        <v>49805733.333333336</v>
      </c>
      <c r="I24" s="5">
        <v>100.71333333333332</v>
      </c>
      <c r="J24" s="2">
        <v>10869.666666666666</v>
      </c>
      <c r="K24" s="2">
        <v>2446296.2949397503</v>
      </c>
      <c r="L24" s="2">
        <v>399094</v>
      </c>
    </row>
    <row r="25" spans="1:12">
      <c r="A25" s="6">
        <v>44926</v>
      </c>
      <c r="B25" s="2">
        <v>1187211</v>
      </c>
      <c r="C25" s="2">
        <v>205100</v>
      </c>
      <c r="D25" s="2">
        <v>112900</v>
      </c>
      <c r="E25" s="2">
        <v>363700</v>
      </c>
      <c r="F25" s="2">
        <v>72600</v>
      </c>
      <c r="G25" s="5">
        <v>57.5</v>
      </c>
      <c r="H25" s="2">
        <v>53805366.666666664</v>
      </c>
      <c r="I25" s="5">
        <v>88.59666666666665</v>
      </c>
      <c r="J25" s="2">
        <v>10571</v>
      </c>
      <c r="K25" s="2">
        <v>2483878.881738883</v>
      </c>
      <c r="L25" s="2">
        <v>348015</v>
      </c>
    </row>
    <row r="26" spans="1:12">
      <c r="A26" s="6">
        <v>45016</v>
      </c>
      <c r="B26" s="2">
        <v>1159934</v>
      </c>
      <c r="C26" s="2">
        <v>178610</v>
      </c>
      <c r="D26" s="2">
        <v>102330</v>
      </c>
      <c r="E26" s="2">
        <v>283860</v>
      </c>
      <c r="F26" s="2">
        <v>26100</v>
      </c>
      <c r="G26" s="5">
        <v>58.9</v>
      </c>
      <c r="H26" s="2">
        <v>56472133.333333336</v>
      </c>
      <c r="I26" s="5">
        <v>82.206666666666663</v>
      </c>
      <c r="J26" s="2">
        <v>10406.666666666666</v>
      </c>
      <c r="K26" s="2">
        <v>2529138.8147165771</v>
      </c>
      <c r="L26" s="2">
        <v>309497.52299999999</v>
      </c>
    </row>
    <row r="27" spans="1:12">
      <c r="A27" s="6">
        <v>45107</v>
      </c>
      <c r="B27" s="2">
        <v>1134944</v>
      </c>
      <c r="C27" s="2">
        <v>179740</v>
      </c>
      <c r="D27" s="2">
        <v>135080</v>
      </c>
      <c r="E27" s="2">
        <v>320100</v>
      </c>
      <c r="F27" s="2">
        <v>46100</v>
      </c>
      <c r="G27" s="5">
        <v>59.2</v>
      </c>
      <c r="H27" s="2">
        <v>58472000</v>
      </c>
      <c r="I27" s="5">
        <v>77.94</v>
      </c>
      <c r="J27" s="2">
        <v>10144.333333333334</v>
      </c>
      <c r="K27" s="2">
        <v>2628733.0461711469</v>
      </c>
      <c r="L27" s="2">
        <v>295294.25699999998</v>
      </c>
    </row>
    <row r="28" spans="1:12">
      <c r="A28" s="6">
        <v>45199</v>
      </c>
      <c r="B28" s="2">
        <v>1122801</v>
      </c>
      <c r="C28" s="2">
        <v>147000</v>
      </c>
      <c r="D28" s="2">
        <v>111540</v>
      </c>
      <c r="E28" s="2">
        <v>294330</v>
      </c>
      <c r="F28" s="2">
        <v>51300</v>
      </c>
      <c r="G28" s="5">
        <v>57.2</v>
      </c>
      <c r="H28" s="2">
        <v>56805566.666666664</v>
      </c>
      <c r="I28" s="5">
        <v>86.326666666666668</v>
      </c>
      <c r="J28" s="2">
        <v>8997.3333333333339</v>
      </c>
      <c r="K28" s="2">
        <v>2665826.2489779131</v>
      </c>
      <c r="L28" s="2">
        <v>299849.34100000001</v>
      </c>
    </row>
    <row r="29" spans="1:12">
      <c r="A29" s="6">
        <v>45291</v>
      </c>
      <c r="B29" s="2">
        <v>1152014</v>
      </c>
      <c r="C29" s="2">
        <v>249200</v>
      </c>
      <c r="D29" s="2">
        <v>108780</v>
      </c>
      <c r="E29" s="2">
        <v>394950</v>
      </c>
      <c r="F29" s="2">
        <v>63000</v>
      </c>
      <c r="G29" s="5">
        <v>57.8</v>
      </c>
      <c r="H29" s="2">
        <v>60805366.666666664</v>
      </c>
      <c r="I29" s="5">
        <v>83.316666666666663</v>
      </c>
      <c r="J29" s="2">
        <v>8983</v>
      </c>
      <c r="K29" s="2">
        <v>2681428.5650254097</v>
      </c>
      <c r="L29" s="2">
        <v>296183.93199999997</v>
      </c>
    </row>
    <row r="30" spans="1:12">
      <c r="A30" s="6">
        <v>45382</v>
      </c>
      <c r="B30" s="2">
        <v>1164190</v>
      </c>
      <c r="C30" s="2">
        <v>181920</v>
      </c>
      <c r="D30" s="2">
        <v>111512</v>
      </c>
      <c r="E30" s="2">
        <v>305820</v>
      </c>
      <c r="F30" s="2">
        <v>34503</v>
      </c>
      <c r="G30" s="5">
        <v>56.5</v>
      </c>
      <c r="H30" s="2">
        <v>63472233.333333336</v>
      </c>
      <c r="I30" s="5">
        <v>82.17</v>
      </c>
      <c r="J30" s="2">
        <v>8981.6666666666661</v>
      </c>
      <c r="K30" s="2">
        <v>2766965.1967203631</v>
      </c>
      <c r="L30" s="2">
        <v>295408.78700000001</v>
      </c>
    </row>
    <row r="31" spans="1:12">
      <c r="A31" s="6">
        <v>45473</v>
      </c>
      <c r="B31" s="2">
        <v>1148324</v>
      </c>
      <c r="C31" s="2">
        <v>212990</v>
      </c>
      <c r="D31" s="2">
        <v>140600</v>
      </c>
      <c r="E31" s="2">
        <v>368930</v>
      </c>
      <c r="F31" s="2">
        <v>64957</v>
      </c>
      <c r="G31" s="5">
        <v>56.1</v>
      </c>
      <c r="H31" s="2">
        <v>65472200</v>
      </c>
      <c r="I31" s="5">
        <v>84.833333333333329</v>
      </c>
      <c r="J31" s="2">
        <v>8981.6666666666661</v>
      </c>
      <c r="K31" s="2">
        <v>2839244.4120638832</v>
      </c>
      <c r="L31" s="2">
        <v>295667.46299999999</v>
      </c>
    </row>
    <row r="32" spans="1:12">
      <c r="A32" s="6">
        <v>45565</v>
      </c>
      <c r="B32" s="2">
        <v>1166650</v>
      </c>
      <c r="C32" s="2">
        <v>190870</v>
      </c>
      <c r="D32" s="2">
        <v>118340</v>
      </c>
      <c r="E32" s="2">
        <v>339440</v>
      </c>
      <c r="F32" s="2">
        <v>48150</v>
      </c>
      <c r="G32" s="5">
        <v>55.2</v>
      </c>
      <c r="H32" s="2">
        <v>63805300</v>
      </c>
      <c r="I32" s="5">
        <v>78.516666666666666</v>
      </c>
      <c r="J32" s="2">
        <v>8980</v>
      </c>
      <c r="K32" s="2">
        <v>2906695.0814062334</v>
      </c>
      <c r="L32" s="2">
        <v>277227.12599999999</v>
      </c>
    </row>
    <row r="33" spans="1:12">
      <c r="A33" s="6">
        <v>45657</v>
      </c>
      <c r="B33" s="2">
        <v>1211577</v>
      </c>
      <c r="C33" s="2">
        <v>170840</v>
      </c>
      <c r="D33" s="2">
        <v>132020</v>
      </c>
      <c r="E33" s="2">
        <v>360520</v>
      </c>
      <c r="F33" s="2">
        <v>43054</v>
      </c>
      <c r="G33" s="5">
        <v>58.1</v>
      </c>
      <c r="H33" s="2">
        <v>67805533.333333328</v>
      </c>
      <c r="I33" s="5">
        <v>73.876666666666665</v>
      </c>
      <c r="J33" s="2">
        <v>8998.3333333333339</v>
      </c>
      <c r="K33" s="2">
        <v>2934405.6548610763</v>
      </c>
      <c r="L33" s="2">
        <v>278360.255</v>
      </c>
    </row>
    <row r="34" spans="1:12">
      <c r="A34" s="6">
        <v>45747</v>
      </c>
      <c r="B34" s="2">
        <v>1207010</v>
      </c>
      <c r="C34" s="2">
        <v>149810</v>
      </c>
      <c r="D34" s="2">
        <v>113806</v>
      </c>
      <c r="E34" s="2">
        <v>322317</v>
      </c>
      <c r="F34" s="2">
        <v>50905.632054339978</v>
      </c>
      <c r="G34" s="5">
        <v>59</v>
      </c>
      <c r="H34" s="2">
        <v>64850000</v>
      </c>
      <c r="I34" s="5">
        <v>70.676666666666662</v>
      </c>
      <c r="J34" s="2">
        <v>9030</v>
      </c>
      <c r="K34" s="2">
        <v>3018565.1863265038</v>
      </c>
      <c r="L34" s="2">
        <v>287358.14500000002</v>
      </c>
    </row>
    <row r="35" spans="1:12">
      <c r="A35" s="6">
        <v>45838</v>
      </c>
      <c r="B35" s="2">
        <v>1199530</v>
      </c>
      <c r="C35" s="2">
        <v>151734</v>
      </c>
      <c r="D35" s="2">
        <v>149861</v>
      </c>
      <c r="E35" s="2">
        <v>336129</v>
      </c>
      <c r="F35" s="2">
        <v>49912.504107230008</v>
      </c>
      <c r="G35" s="5">
        <v>56.2</v>
      </c>
      <c r="H35" s="2">
        <v>67066666.666666664</v>
      </c>
      <c r="I35" s="5">
        <v>61.31</v>
      </c>
      <c r="J35" s="2">
        <v>9143.3333333333339</v>
      </c>
      <c r="K35" s="2">
        <v>3087698.8642407903</v>
      </c>
      <c r="L35" s="2">
        <v>274327.79300000001</v>
      </c>
    </row>
    <row r="36" spans="1:12">
      <c r="A36" s="6">
        <v>45930</v>
      </c>
      <c r="B36" s="2">
        <v>1222872</v>
      </c>
      <c r="C36" s="2">
        <v>150816</v>
      </c>
      <c r="D36" s="2">
        <v>119059</v>
      </c>
      <c r="E36" s="2">
        <v>358397</v>
      </c>
      <c r="F36" s="2">
        <v>39909.473640320008</v>
      </c>
      <c r="G36" s="5">
        <v>56.8</v>
      </c>
      <c r="H36" s="2">
        <v>64900000</v>
      </c>
      <c r="I36" s="5">
        <v>65.896666666666661</v>
      </c>
      <c r="J36" s="2">
        <v>9413.3333333333339</v>
      </c>
      <c r="K36" s="2">
        <v>3144691.0225523994</v>
      </c>
      <c r="L36" s="2">
        <v>304012.326</v>
      </c>
    </row>
    <row r="37" spans="1:12">
      <c r="A37" s="6">
        <v>46022</v>
      </c>
      <c r="B37" s="2">
        <v>1272528</v>
      </c>
      <c r="C37" s="2">
        <v>154185</v>
      </c>
      <c r="D37" s="2">
        <v>122558</v>
      </c>
      <c r="E37" s="2">
        <v>371589.12513351016</v>
      </c>
      <c r="F37" s="2">
        <v>27785.7050528</v>
      </c>
      <c r="G37" s="5">
        <v>58.7</v>
      </c>
      <c r="H37" s="2">
        <v>69266666.666666672</v>
      </c>
      <c r="I37" s="5">
        <v>59.196666666666665</v>
      </c>
      <c r="J37" s="2">
        <v>9716.6666666666661</v>
      </c>
      <c r="K37" s="2">
        <v>3148267.0778710698</v>
      </c>
      <c r="L37" s="2">
        <v>300397.07400000002</v>
      </c>
    </row>
    <row r="38" spans="1:12">
      <c r="A38" s="17">
        <v>46053</v>
      </c>
      <c r="B38" s="18">
        <f>B37*(1+AVERAGE((B34-B33)/B33,(B35-B34)/B34,(B36-B35)/B35,(B37-B36)/B36))</f>
        <v>1288466.0116476892</v>
      </c>
      <c r="C38" s="18"/>
      <c r="D38" s="18"/>
      <c r="E38" s="18"/>
      <c r="F38" s="31">
        <v>28086.514672704441</v>
      </c>
      <c r="G38" s="32">
        <v>56.2</v>
      </c>
      <c r="H38" s="31">
        <v>63770235.666666664</v>
      </c>
      <c r="I38" s="32">
        <v>74.153333333333322</v>
      </c>
      <c r="J38" s="31">
        <v>10098.666666666666</v>
      </c>
      <c r="K38" s="31">
        <v>3297055.3923715702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92F9-EF7B-4D10-9E4B-93EFD2A3EC6A}">
  <sheetPr codeName="Sheet11">
    <tabColor rgb="FF0070C0"/>
  </sheetPr>
  <dimension ref="B2:C18"/>
  <sheetViews>
    <sheetView zoomScale="130" zoomScaleNormal="130" workbookViewId="0">
      <selection sqref="A1:D19"/>
    </sheetView>
  </sheetViews>
  <sheetFormatPr defaultColWidth="9.109375" defaultRowHeight="14.4"/>
  <cols>
    <col min="1" max="1" width="9.109375" style="3"/>
    <col min="2" max="2" width="18.33203125" style="3" customWidth="1"/>
    <col min="3" max="3" width="21.44140625" style="3" customWidth="1"/>
    <col min="4" max="4" width="10.44140625" style="3" customWidth="1"/>
    <col min="5" max="16384" width="9.109375" style="3"/>
  </cols>
  <sheetData>
    <row r="2" spans="2:3" ht="15" customHeight="1" thickBot="1">
      <c r="B2" s="16" t="s">
        <v>41</v>
      </c>
    </row>
    <row r="3" spans="2:3" ht="15" customHeight="1" thickBot="1">
      <c r="B3" s="8" t="s">
        <v>34</v>
      </c>
      <c r="C3" s="10" t="s">
        <v>35</v>
      </c>
    </row>
    <row r="4" spans="2:3" ht="15" customHeight="1" thickBot="1">
      <c r="B4" s="9" t="s">
        <v>36</v>
      </c>
      <c r="C4" s="11">
        <f>((Model!H38-Model!H37)/Model!H37)</f>
        <v>-7.9351746871992396E-2</v>
      </c>
    </row>
    <row r="5" spans="2:3" ht="15" customHeight="1" thickBot="1">
      <c r="B5" s="9" t="s">
        <v>37</v>
      </c>
      <c r="C5" s="12">
        <f>Model!J38/1000</f>
        <v>10.098666666666666</v>
      </c>
    </row>
    <row r="6" spans="2:3" ht="15" thickBot="1">
      <c r="B6" s="9" t="s">
        <v>38</v>
      </c>
      <c r="C6" s="12">
        <f>Model!G38</f>
        <v>56.2</v>
      </c>
    </row>
    <row r="8" spans="2:3" ht="15" thickBot="1">
      <c r="B8" s="16" t="s">
        <v>43</v>
      </c>
    </row>
    <row r="9" spans="2:3" ht="15" thickTop="1">
      <c r="B9" s="13" t="s">
        <v>44</v>
      </c>
      <c r="C9" s="35">
        <f>Model!B38</f>
        <v>1288466.0116476892</v>
      </c>
    </row>
    <row r="10" spans="2:3">
      <c r="B10" s="33" t="s">
        <v>39</v>
      </c>
      <c r="C10" s="34">
        <f>(Model!B38-Model!B34)/Model!B34</f>
        <v>6.7485780273311036E-2</v>
      </c>
    </row>
    <row r="11" spans="2:3" ht="15" thickBot="1">
      <c r="B11" s="14" t="s">
        <v>40</v>
      </c>
      <c r="C11" s="15">
        <f>(Model!B38-Model!B37)/Model!B37</f>
        <v>1.2524684445206043E-2</v>
      </c>
    </row>
    <row r="12" spans="2:3" ht="15" thickTop="1"/>
    <row r="14" spans="2:3" ht="15" thickBot="1">
      <c r="B14" s="16" t="s">
        <v>45</v>
      </c>
    </row>
    <row r="15" spans="2:3" ht="15" thickTop="1">
      <c r="B15" s="13" t="s">
        <v>46</v>
      </c>
      <c r="C15" s="36">
        <f>Model!C38+Model!D38</f>
        <v>0</v>
      </c>
    </row>
    <row r="16" spans="2:3">
      <c r="B16" s="33" t="s">
        <v>47</v>
      </c>
      <c r="C16" s="37">
        <f>Model!E38</f>
        <v>0</v>
      </c>
    </row>
    <row r="17" spans="2:3" ht="15" thickBot="1">
      <c r="B17" s="14" t="s">
        <v>48</v>
      </c>
      <c r="C17" s="38">
        <f>C15-C16</f>
        <v>0</v>
      </c>
    </row>
    <row r="18" spans="2:3" ht="15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A573-1B4B-4A4C-AE2C-D2023D4457DF}">
  <dimension ref="A1:AD52"/>
  <sheetViews>
    <sheetView workbookViewId="0">
      <selection activeCell="Q2" sqref="Q2"/>
    </sheetView>
  </sheetViews>
  <sheetFormatPr defaultColWidth="8.88671875" defaultRowHeight="14.4"/>
  <cols>
    <col min="1" max="1" width="10.44140625" bestFit="1" customWidth="1"/>
    <col min="2" max="2" width="10.109375" bestFit="1" customWidth="1"/>
    <col min="3" max="3" width="11.109375" bestFit="1" customWidth="1"/>
    <col min="4" max="4" width="13.109375" bestFit="1" customWidth="1"/>
    <col min="5" max="5" width="20.44140625" bestFit="1" customWidth="1"/>
    <col min="6" max="6" width="32" bestFit="1" customWidth="1"/>
    <col min="7" max="7" width="26.109375" bestFit="1" customWidth="1"/>
    <col min="8" max="8" width="16.33203125" bestFit="1" customWidth="1"/>
    <col min="9" max="9" width="21" bestFit="1" customWidth="1"/>
    <col min="10" max="10" width="9.44140625" bestFit="1" customWidth="1"/>
    <col min="11" max="11" width="15.109375" bestFit="1" customWidth="1"/>
    <col min="12" max="12" width="8.33203125" bestFit="1" customWidth="1"/>
    <col min="13" max="13" width="37.109375" bestFit="1" customWidth="1"/>
    <col min="14" max="14" width="51" bestFit="1" customWidth="1"/>
    <col min="15" max="15" width="13.44140625" bestFit="1" customWidth="1"/>
    <col min="16" max="16" width="41.88671875" bestFit="1" customWidth="1"/>
    <col min="17" max="17" width="39.33203125" bestFit="1" customWidth="1"/>
    <col min="18" max="18" width="23.88671875" bestFit="1" customWidth="1"/>
    <col min="19" max="19" width="20.44140625" bestFit="1" customWidth="1"/>
    <col min="20" max="20" width="23.6640625" bestFit="1" customWidth="1"/>
    <col min="21" max="21" width="25.44140625" bestFit="1" customWidth="1"/>
    <col min="22" max="22" width="20.44140625" bestFit="1" customWidth="1"/>
    <col min="23" max="23" width="23.6640625" bestFit="1" customWidth="1"/>
    <col min="24" max="24" width="25.44140625" bestFit="1" customWidth="1"/>
  </cols>
  <sheetData>
    <row r="1" spans="1:18">
      <c r="A1" t="s">
        <v>0</v>
      </c>
      <c r="B1" t="s">
        <v>57</v>
      </c>
      <c r="C1" t="s">
        <v>152</v>
      </c>
      <c r="D1" t="s">
        <v>113</v>
      </c>
      <c r="E1" t="s">
        <v>101</v>
      </c>
      <c r="F1" s="62" t="s">
        <v>102</v>
      </c>
      <c r="G1" t="s">
        <v>103</v>
      </c>
      <c r="H1" t="s">
        <v>104</v>
      </c>
      <c r="I1" t="s">
        <v>105</v>
      </c>
      <c r="J1" t="s">
        <v>114</v>
      </c>
      <c r="K1" t="s">
        <v>106</v>
      </c>
      <c r="L1" t="s">
        <v>115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3</v>
      </c>
    </row>
    <row r="2" spans="1:18">
      <c r="A2" s="58">
        <v>42825</v>
      </c>
      <c r="B2" s="23" t="s">
        <v>58</v>
      </c>
      <c r="C2" t="s">
        <v>116</v>
      </c>
      <c r="D2">
        <v>24373</v>
      </c>
      <c r="E2">
        <v>266363</v>
      </c>
      <c r="F2">
        <v>262285</v>
      </c>
      <c r="G2">
        <v>3936</v>
      </c>
      <c r="H2">
        <v>146699</v>
      </c>
      <c r="I2">
        <v>61846</v>
      </c>
      <c r="J2">
        <v>5988</v>
      </c>
      <c r="K2">
        <v>51412</v>
      </c>
      <c r="L2">
        <v>86822</v>
      </c>
      <c r="M2">
        <v>49184</v>
      </c>
      <c r="N2">
        <v>93203</v>
      </c>
      <c r="O2">
        <v>51858</v>
      </c>
      <c r="P2">
        <v>40845</v>
      </c>
      <c r="Q2">
        <v>24997</v>
      </c>
      <c r="R2">
        <v>141861</v>
      </c>
    </row>
    <row r="3" spans="1:18">
      <c r="A3" s="58">
        <v>42916</v>
      </c>
      <c r="B3" s="23" t="s">
        <v>59</v>
      </c>
      <c r="C3" t="s">
        <v>117</v>
      </c>
      <c r="D3">
        <v>26197</v>
      </c>
      <c r="E3">
        <v>267970</v>
      </c>
      <c r="F3">
        <v>264429</v>
      </c>
      <c r="G3">
        <v>3644</v>
      </c>
      <c r="H3">
        <v>149510</v>
      </c>
      <c r="I3">
        <v>65603</v>
      </c>
      <c r="J3">
        <v>16120</v>
      </c>
      <c r="K3">
        <v>49324</v>
      </c>
      <c r="L3">
        <v>81924</v>
      </c>
      <c r="M3">
        <v>47480</v>
      </c>
      <c r="N3">
        <v>92784</v>
      </c>
      <c r="O3">
        <v>51137</v>
      </c>
      <c r="P3">
        <v>41218</v>
      </c>
      <c r="Q3">
        <v>24718</v>
      </c>
      <c r="R3">
        <v>129052</v>
      </c>
    </row>
    <row r="4" spans="1:18">
      <c r="A4" s="58">
        <v>43008</v>
      </c>
      <c r="B4" s="23" t="s">
        <v>60</v>
      </c>
      <c r="C4" t="s">
        <v>118</v>
      </c>
      <c r="D4">
        <v>27068</v>
      </c>
      <c r="E4">
        <v>271465</v>
      </c>
      <c r="F4">
        <v>267701</v>
      </c>
      <c r="G4">
        <v>3790</v>
      </c>
      <c r="H4">
        <v>146310</v>
      </c>
      <c r="I4">
        <v>67975</v>
      </c>
      <c r="J4">
        <v>24018</v>
      </c>
      <c r="K4">
        <v>53923</v>
      </c>
      <c r="L4">
        <v>89668</v>
      </c>
      <c r="M4">
        <v>45764</v>
      </c>
      <c r="N4">
        <v>91896</v>
      </c>
      <c r="O4">
        <v>49976</v>
      </c>
      <c r="P4">
        <v>41592</v>
      </c>
      <c r="Q4">
        <v>24175</v>
      </c>
      <c r="R4">
        <v>122371</v>
      </c>
    </row>
    <row r="5" spans="1:18">
      <c r="A5" s="58">
        <v>43100</v>
      </c>
      <c r="B5" s="23" t="s">
        <v>61</v>
      </c>
      <c r="C5" t="s">
        <v>119</v>
      </c>
      <c r="D5">
        <v>21843</v>
      </c>
      <c r="E5">
        <v>268215</v>
      </c>
      <c r="F5">
        <v>265262</v>
      </c>
      <c r="G5">
        <v>3314</v>
      </c>
      <c r="H5">
        <v>143413</v>
      </c>
      <c r="I5">
        <v>67040</v>
      </c>
      <c r="J5">
        <v>10163</v>
      </c>
      <c r="K5">
        <v>56069</v>
      </c>
      <c r="L5">
        <v>94104</v>
      </c>
      <c r="M5">
        <v>51986</v>
      </c>
      <c r="N5">
        <v>100527</v>
      </c>
      <c r="O5">
        <v>51945</v>
      </c>
      <c r="P5">
        <v>48608</v>
      </c>
      <c r="Q5">
        <v>24824</v>
      </c>
      <c r="R5">
        <v>160031</v>
      </c>
    </row>
    <row r="6" spans="1:18">
      <c r="A6" s="58">
        <v>43190</v>
      </c>
      <c r="B6" s="23" t="s">
        <v>62</v>
      </c>
      <c r="C6" t="s">
        <v>120</v>
      </c>
      <c r="D6">
        <v>24989</v>
      </c>
      <c r="E6">
        <v>268144</v>
      </c>
      <c r="F6">
        <v>263823</v>
      </c>
      <c r="G6">
        <v>4191</v>
      </c>
      <c r="H6">
        <v>147687</v>
      </c>
      <c r="I6">
        <v>61149</v>
      </c>
      <c r="J6">
        <v>5918</v>
      </c>
      <c r="K6">
        <v>54035</v>
      </c>
      <c r="L6">
        <v>89507</v>
      </c>
      <c r="M6">
        <v>50453</v>
      </c>
      <c r="N6">
        <v>96697</v>
      </c>
      <c r="O6">
        <v>53612</v>
      </c>
      <c r="P6">
        <v>42608</v>
      </c>
      <c r="Q6">
        <v>26722</v>
      </c>
      <c r="R6">
        <v>148584</v>
      </c>
    </row>
    <row r="7" spans="1:18">
      <c r="A7" s="58">
        <v>43281</v>
      </c>
      <c r="B7" s="23" t="s">
        <v>63</v>
      </c>
      <c r="C7" t="s">
        <v>121</v>
      </c>
      <c r="D7">
        <v>26998</v>
      </c>
      <c r="E7">
        <v>272436</v>
      </c>
      <c r="F7">
        <v>268762</v>
      </c>
      <c r="G7">
        <v>3751</v>
      </c>
      <c r="H7">
        <v>150671</v>
      </c>
      <c r="I7">
        <v>62892</v>
      </c>
      <c r="J7">
        <v>15631</v>
      </c>
      <c r="K7">
        <v>52794</v>
      </c>
      <c r="L7">
        <v>84824</v>
      </c>
      <c r="M7">
        <v>47951</v>
      </c>
      <c r="N7">
        <v>97795</v>
      </c>
      <c r="O7">
        <v>52575</v>
      </c>
      <c r="P7">
        <v>44952</v>
      </c>
      <c r="Q7">
        <v>26944</v>
      </c>
      <c r="R7">
        <v>139218</v>
      </c>
    </row>
    <row r="8" spans="1:18">
      <c r="A8" s="58">
        <v>43373</v>
      </c>
      <c r="B8" s="23" t="s">
        <v>64</v>
      </c>
      <c r="C8" t="s">
        <v>122</v>
      </c>
      <c r="D8">
        <v>27499</v>
      </c>
      <c r="E8">
        <v>282727</v>
      </c>
      <c r="F8">
        <v>279007</v>
      </c>
      <c r="G8">
        <v>3827</v>
      </c>
      <c r="H8">
        <v>146694</v>
      </c>
      <c r="I8">
        <v>65839</v>
      </c>
      <c r="J8">
        <v>23784</v>
      </c>
      <c r="K8">
        <v>57023</v>
      </c>
      <c r="L8">
        <v>92377</v>
      </c>
      <c r="M8">
        <v>47387</v>
      </c>
      <c r="N8">
        <v>95715</v>
      </c>
      <c r="O8">
        <v>51161</v>
      </c>
      <c r="P8">
        <v>44329</v>
      </c>
      <c r="Q8">
        <v>25862</v>
      </c>
      <c r="R8">
        <v>123729</v>
      </c>
    </row>
    <row r="9" spans="1:18">
      <c r="A9" s="58">
        <v>43465</v>
      </c>
      <c r="B9" s="23" t="s">
        <v>65</v>
      </c>
      <c r="C9" t="s">
        <v>123</v>
      </c>
      <c r="D9">
        <v>22295</v>
      </c>
      <c r="E9">
        <v>289811</v>
      </c>
      <c r="F9">
        <v>286801</v>
      </c>
      <c r="G9">
        <v>3355</v>
      </c>
      <c r="H9">
        <v>144364</v>
      </c>
      <c r="I9">
        <v>64088</v>
      </c>
      <c r="J9">
        <v>9405</v>
      </c>
      <c r="K9">
        <v>56723</v>
      </c>
      <c r="L9">
        <v>95296</v>
      </c>
      <c r="M9">
        <v>53514</v>
      </c>
      <c r="N9">
        <v>105380</v>
      </c>
      <c r="O9">
        <v>53176</v>
      </c>
      <c r="P9">
        <v>52366</v>
      </c>
      <c r="Q9">
        <v>26436</v>
      </c>
      <c r="R9">
        <v>163205</v>
      </c>
    </row>
    <row r="10" spans="1:18">
      <c r="A10" s="58">
        <v>43555</v>
      </c>
      <c r="B10" s="23" t="s">
        <v>66</v>
      </c>
      <c r="C10" t="s">
        <v>124</v>
      </c>
      <c r="D10">
        <v>25095</v>
      </c>
      <c r="E10">
        <v>269820</v>
      </c>
      <c r="F10">
        <v>265402</v>
      </c>
      <c r="G10">
        <v>4521</v>
      </c>
      <c r="H10">
        <v>152930</v>
      </c>
      <c r="I10">
        <v>62353</v>
      </c>
      <c r="J10">
        <v>6469</v>
      </c>
      <c r="K10">
        <v>57313</v>
      </c>
      <c r="L10">
        <v>91754</v>
      </c>
      <c r="M10">
        <v>54908</v>
      </c>
      <c r="N10">
        <v>101889</v>
      </c>
      <c r="O10">
        <v>55470</v>
      </c>
      <c r="P10">
        <v>46096</v>
      </c>
      <c r="Q10">
        <v>27917</v>
      </c>
      <c r="R10">
        <v>150640</v>
      </c>
    </row>
    <row r="11" spans="1:18">
      <c r="A11" s="58">
        <v>43646</v>
      </c>
      <c r="B11" s="23" t="s">
        <v>67</v>
      </c>
      <c r="C11" t="s">
        <v>125</v>
      </c>
      <c r="D11">
        <v>27061</v>
      </c>
      <c r="E11">
        <v>263628</v>
      </c>
      <c r="F11">
        <v>259742</v>
      </c>
      <c r="G11">
        <v>3983</v>
      </c>
      <c r="H11">
        <v>153371</v>
      </c>
      <c r="I11">
        <v>60802</v>
      </c>
      <c r="J11">
        <v>15620</v>
      </c>
      <c r="K11">
        <v>55464</v>
      </c>
      <c r="L11">
        <v>88592</v>
      </c>
      <c r="M11">
        <v>52472</v>
      </c>
      <c r="N11">
        <v>102576</v>
      </c>
      <c r="O11">
        <v>52796</v>
      </c>
      <c r="P11">
        <v>49736</v>
      </c>
      <c r="Q11">
        <v>28318</v>
      </c>
      <c r="R11">
        <v>140746</v>
      </c>
    </row>
    <row r="12" spans="1:18">
      <c r="A12" s="58">
        <v>43738</v>
      </c>
      <c r="B12" s="23" t="s">
        <v>68</v>
      </c>
      <c r="C12" t="s">
        <v>126</v>
      </c>
      <c r="D12">
        <v>27730</v>
      </c>
      <c r="E12">
        <v>263963</v>
      </c>
      <c r="F12">
        <v>259805</v>
      </c>
      <c r="G12">
        <v>4257</v>
      </c>
      <c r="H12">
        <v>149921</v>
      </c>
      <c r="I12">
        <v>62121</v>
      </c>
      <c r="J12">
        <v>24089</v>
      </c>
      <c r="K12">
        <v>57471</v>
      </c>
      <c r="L12">
        <v>98425</v>
      </c>
      <c r="M12">
        <v>50358</v>
      </c>
      <c r="N12">
        <v>100409</v>
      </c>
      <c r="O12">
        <v>51754</v>
      </c>
      <c r="P12">
        <v>48605</v>
      </c>
      <c r="Q12">
        <v>27738</v>
      </c>
      <c r="R12">
        <v>129495</v>
      </c>
    </row>
    <row r="13" spans="1:18">
      <c r="A13" s="58">
        <v>43830</v>
      </c>
      <c r="B13" s="23" t="s">
        <v>69</v>
      </c>
      <c r="C13" t="s">
        <v>127</v>
      </c>
      <c r="D13">
        <v>22623</v>
      </c>
      <c r="E13">
        <v>272036</v>
      </c>
      <c r="F13">
        <v>268434</v>
      </c>
      <c r="G13">
        <v>3699</v>
      </c>
      <c r="H13">
        <v>149693</v>
      </c>
      <c r="I13">
        <v>61823</v>
      </c>
      <c r="J13">
        <v>9924</v>
      </c>
      <c r="K13">
        <v>56891</v>
      </c>
      <c r="L13">
        <v>104451</v>
      </c>
      <c r="M13">
        <v>54495</v>
      </c>
      <c r="N13">
        <v>109234</v>
      </c>
      <c r="O13">
        <v>54199</v>
      </c>
      <c r="P13">
        <v>55175</v>
      </c>
      <c r="Q13">
        <v>28647</v>
      </c>
      <c r="R13">
        <v>163790</v>
      </c>
    </row>
    <row r="14" spans="1:18">
      <c r="A14" s="58">
        <v>43921</v>
      </c>
      <c r="B14" s="23" t="s">
        <v>70</v>
      </c>
      <c r="C14" t="s">
        <v>128</v>
      </c>
      <c r="D14">
        <v>25183</v>
      </c>
      <c r="E14">
        <v>262656</v>
      </c>
      <c r="F14">
        <v>257787</v>
      </c>
      <c r="G14">
        <v>4858</v>
      </c>
      <c r="H14">
        <v>142871</v>
      </c>
      <c r="I14">
        <v>47357</v>
      </c>
      <c r="J14">
        <v>6422</v>
      </c>
      <c r="K14">
        <v>55026</v>
      </c>
      <c r="L14">
        <v>94482</v>
      </c>
      <c r="M14">
        <v>51693</v>
      </c>
      <c r="N14">
        <v>102946</v>
      </c>
      <c r="O14">
        <v>55233</v>
      </c>
      <c r="P14">
        <v>47517</v>
      </c>
      <c r="Q14">
        <v>30641</v>
      </c>
      <c r="R14">
        <v>151274</v>
      </c>
    </row>
    <row r="15" spans="1:18">
      <c r="A15" s="58">
        <v>44012</v>
      </c>
      <c r="B15" s="23" t="s">
        <v>71</v>
      </c>
      <c r="C15" t="s">
        <v>129</v>
      </c>
      <c r="D15">
        <v>26445</v>
      </c>
      <c r="E15">
        <v>251990</v>
      </c>
      <c r="F15">
        <v>248118</v>
      </c>
      <c r="G15">
        <v>3955</v>
      </c>
      <c r="H15">
        <v>138925</v>
      </c>
      <c r="I15">
        <v>52393</v>
      </c>
      <c r="J15">
        <v>14468</v>
      </c>
      <c r="K15">
        <v>49076</v>
      </c>
      <c r="L15">
        <v>72503</v>
      </c>
      <c r="M15">
        <v>40372</v>
      </c>
      <c r="N15">
        <v>101768</v>
      </c>
      <c r="O15">
        <v>53098</v>
      </c>
      <c r="P15">
        <v>48573</v>
      </c>
      <c r="Q15">
        <v>28926</v>
      </c>
      <c r="R15">
        <v>137925</v>
      </c>
    </row>
    <row r="16" spans="1:18">
      <c r="A16" s="58">
        <v>44104</v>
      </c>
      <c r="B16" s="23" t="s">
        <v>72</v>
      </c>
      <c r="C16" t="s">
        <v>130</v>
      </c>
      <c r="D16">
        <v>29109</v>
      </c>
      <c r="E16">
        <v>245302</v>
      </c>
      <c r="F16">
        <v>240924</v>
      </c>
      <c r="G16">
        <v>4387</v>
      </c>
      <c r="H16">
        <v>141839</v>
      </c>
      <c r="I16">
        <v>50762</v>
      </c>
      <c r="J16">
        <v>24547</v>
      </c>
      <c r="K16">
        <v>53839</v>
      </c>
      <c r="L16">
        <v>93871</v>
      </c>
      <c r="M16">
        <v>44233</v>
      </c>
      <c r="N16">
        <v>101573</v>
      </c>
      <c r="O16">
        <v>53414</v>
      </c>
      <c r="P16">
        <v>48035</v>
      </c>
      <c r="Q16">
        <v>29524</v>
      </c>
      <c r="R16">
        <v>130398</v>
      </c>
    </row>
    <row r="17" spans="1:30">
      <c r="A17" s="58">
        <v>44196</v>
      </c>
      <c r="B17" s="23" t="s">
        <v>73</v>
      </c>
      <c r="C17" t="s">
        <v>131</v>
      </c>
      <c r="D17">
        <v>23276</v>
      </c>
      <c r="E17">
        <v>246275</v>
      </c>
      <c r="F17">
        <v>242630</v>
      </c>
      <c r="G17">
        <v>3743</v>
      </c>
      <c r="H17">
        <v>154115</v>
      </c>
      <c r="I17">
        <v>63710</v>
      </c>
      <c r="J17">
        <v>10230</v>
      </c>
      <c r="K17">
        <v>54852</v>
      </c>
      <c r="L17">
        <v>102714</v>
      </c>
      <c r="M17">
        <v>48294</v>
      </c>
      <c r="N17">
        <v>111295</v>
      </c>
      <c r="O17">
        <v>56058</v>
      </c>
      <c r="P17">
        <v>55259</v>
      </c>
      <c r="Q17">
        <v>29649</v>
      </c>
      <c r="R17">
        <v>161578</v>
      </c>
    </row>
    <row r="18" spans="1:30">
      <c r="A18" s="58">
        <v>44286</v>
      </c>
      <c r="B18" s="23" t="s">
        <v>74</v>
      </c>
      <c r="C18" t="s">
        <v>132</v>
      </c>
      <c r="D18">
        <v>25797</v>
      </c>
      <c r="E18">
        <v>227405</v>
      </c>
      <c r="F18">
        <v>221467</v>
      </c>
      <c r="G18">
        <v>4945</v>
      </c>
      <c r="H18">
        <v>163695</v>
      </c>
      <c r="I18">
        <v>57617</v>
      </c>
      <c r="J18">
        <v>6467</v>
      </c>
      <c r="K18">
        <v>55678</v>
      </c>
      <c r="L18">
        <v>102023</v>
      </c>
      <c r="M18">
        <v>50172</v>
      </c>
      <c r="N18">
        <v>107613</v>
      </c>
      <c r="O18">
        <v>58196</v>
      </c>
      <c r="P18">
        <v>49236</v>
      </c>
      <c r="Q18">
        <v>34990</v>
      </c>
      <c r="R18">
        <v>154050</v>
      </c>
    </row>
    <row r="19" spans="1:30">
      <c r="A19" s="58">
        <v>44377</v>
      </c>
      <c r="B19" s="23" t="s">
        <v>75</v>
      </c>
      <c r="C19" t="s">
        <v>133</v>
      </c>
      <c r="D19">
        <v>26563</v>
      </c>
      <c r="E19">
        <v>231540</v>
      </c>
      <c r="F19">
        <v>227047</v>
      </c>
      <c r="G19">
        <v>4228</v>
      </c>
      <c r="H19">
        <v>162927</v>
      </c>
      <c r="I19">
        <v>57893</v>
      </c>
      <c r="J19">
        <v>15595</v>
      </c>
      <c r="K19">
        <v>51825</v>
      </c>
      <c r="L19">
        <v>101440</v>
      </c>
      <c r="M19">
        <v>47259</v>
      </c>
      <c r="N19">
        <v>109332</v>
      </c>
      <c r="O19">
        <v>56531</v>
      </c>
      <c r="P19">
        <v>52717</v>
      </c>
      <c r="Q19">
        <v>31705</v>
      </c>
      <c r="R19">
        <v>133593</v>
      </c>
    </row>
    <row r="20" spans="1:30">
      <c r="A20" s="58">
        <v>44469</v>
      </c>
      <c r="B20" s="23" t="s">
        <v>76</v>
      </c>
      <c r="C20" t="s">
        <v>134</v>
      </c>
      <c r="D20">
        <v>29172</v>
      </c>
      <c r="E20">
        <v>265611</v>
      </c>
      <c r="F20">
        <v>261402</v>
      </c>
      <c r="G20">
        <v>4360</v>
      </c>
      <c r="H20">
        <v>155648</v>
      </c>
      <c r="I20">
        <v>60496</v>
      </c>
      <c r="J20">
        <v>25400</v>
      </c>
      <c r="K20">
        <v>60568</v>
      </c>
      <c r="L20">
        <v>103750</v>
      </c>
      <c r="M20">
        <v>50971</v>
      </c>
      <c r="N20">
        <v>112024</v>
      </c>
      <c r="O20">
        <v>54678</v>
      </c>
      <c r="P20">
        <v>57386</v>
      </c>
      <c r="Q20">
        <v>32645</v>
      </c>
      <c r="R20">
        <v>134952</v>
      </c>
    </row>
    <row r="21" spans="1:30">
      <c r="A21" s="58">
        <v>44561</v>
      </c>
      <c r="B21" s="23" t="s">
        <v>77</v>
      </c>
      <c r="C21" t="s">
        <v>135</v>
      </c>
      <c r="D21">
        <v>24016</v>
      </c>
      <c r="E21">
        <v>271201</v>
      </c>
      <c r="F21">
        <v>267749</v>
      </c>
      <c r="G21">
        <v>4013</v>
      </c>
      <c r="H21">
        <v>169670</v>
      </c>
      <c r="I21">
        <v>73790</v>
      </c>
      <c r="J21">
        <v>10872</v>
      </c>
      <c r="K21">
        <v>66188</v>
      </c>
      <c r="L21">
        <v>108109</v>
      </c>
      <c r="M21">
        <v>59117</v>
      </c>
      <c r="N21">
        <v>117658</v>
      </c>
      <c r="O21">
        <v>56631</v>
      </c>
      <c r="P21">
        <v>61099</v>
      </c>
      <c r="Q21">
        <v>33421</v>
      </c>
      <c r="R21">
        <v>165139</v>
      </c>
    </row>
    <row r="22" spans="1:30">
      <c r="A22" s="58">
        <v>44651</v>
      </c>
      <c r="B22" s="23" t="s">
        <v>78</v>
      </c>
      <c r="C22" t="s">
        <v>136</v>
      </c>
      <c r="D22">
        <v>26322</v>
      </c>
      <c r="E22">
        <v>272147</v>
      </c>
      <c r="F22">
        <v>267209</v>
      </c>
      <c r="G22">
        <v>4788</v>
      </c>
      <c r="H22">
        <v>181483</v>
      </c>
      <c r="I22">
        <v>67608</v>
      </c>
      <c r="J22">
        <v>6738</v>
      </c>
      <c r="K22">
        <v>72122</v>
      </c>
      <c r="L22">
        <v>108808</v>
      </c>
      <c r="M22">
        <v>57830</v>
      </c>
      <c r="N22">
        <v>114763</v>
      </c>
      <c r="O22">
        <v>58597</v>
      </c>
      <c r="P22">
        <v>56114</v>
      </c>
      <c r="Q22">
        <v>36285</v>
      </c>
      <c r="R22">
        <v>160997</v>
      </c>
    </row>
    <row r="23" spans="1:30">
      <c r="A23" s="58">
        <v>44742</v>
      </c>
      <c r="B23" s="23" t="s">
        <v>79</v>
      </c>
      <c r="C23" t="s">
        <v>137</v>
      </c>
      <c r="D23">
        <v>26937</v>
      </c>
      <c r="E23">
        <v>284996</v>
      </c>
      <c r="F23">
        <v>280413</v>
      </c>
      <c r="G23">
        <v>4441</v>
      </c>
      <c r="H23">
        <v>185672</v>
      </c>
      <c r="I23">
        <v>67487</v>
      </c>
      <c r="J23">
        <v>16344</v>
      </c>
      <c r="K23">
        <v>74637</v>
      </c>
      <c r="L23">
        <v>111150</v>
      </c>
      <c r="M23">
        <v>53613</v>
      </c>
      <c r="N23">
        <v>116436</v>
      </c>
      <c r="O23">
        <v>57828</v>
      </c>
      <c r="P23">
        <v>58595</v>
      </c>
      <c r="Q23">
        <v>35350</v>
      </c>
      <c r="R23">
        <v>139528</v>
      </c>
    </row>
    <row r="24" spans="1:30">
      <c r="A24" s="58">
        <v>44834</v>
      </c>
      <c r="B24" s="23" t="s">
        <v>80</v>
      </c>
      <c r="C24" t="s">
        <v>138</v>
      </c>
      <c r="D24">
        <v>29479</v>
      </c>
      <c r="E24">
        <v>304732</v>
      </c>
      <c r="F24">
        <v>300128</v>
      </c>
      <c r="G24">
        <v>4459</v>
      </c>
      <c r="H24">
        <v>176218</v>
      </c>
      <c r="I24">
        <v>65173</v>
      </c>
      <c r="J24">
        <v>27411</v>
      </c>
      <c r="K24">
        <v>82441</v>
      </c>
      <c r="L24">
        <v>115746</v>
      </c>
      <c r="M24">
        <v>55415</v>
      </c>
      <c r="N24">
        <v>121846</v>
      </c>
      <c r="O24">
        <v>55870</v>
      </c>
      <c r="P24">
        <v>66073</v>
      </c>
      <c r="Q24">
        <v>35668</v>
      </c>
      <c r="R24">
        <v>141144</v>
      </c>
    </row>
    <row r="25" spans="1:30">
      <c r="A25" s="58">
        <v>44926</v>
      </c>
      <c r="B25" s="23" t="s">
        <v>81</v>
      </c>
      <c r="C25" t="s">
        <v>139</v>
      </c>
      <c r="D25">
        <v>24663</v>
      </c>
      <c r="E25">
        <v>291393</v>
      </c>
      <c r="F25">
        <v>287134</v>
      </c>
      <c r="G25">
        <v>4124</v>
      </c>
      <c r="H25">
        <v>181331</v>
      </c>
      <c r="I25">
        <v>70335</v>
      </c>
      <c r="J25">
        <v>11138</v>
      </c>
      <c r="K25">
        <v>85489</v>
      </c>
      <c r="L25">
        <v>121323</v>
      </c>
      <c r="M25">
        <v>66232</v>
      </c>
      <c r="N25">
        <v>129150</v>
      </c>
      <c r="O25">
        <v>57928</v>
      </c>
      <c r="P25">
        <v>71355</v>
      </c>
      <c r="Q25">
        <v>37788</v>
      </c>
      <c r="R25">
        <v>173352</v>
      </c>
    </row>
    <row r="26" spans="1:30">
      <c r="A26" s="58">
        <v>45016</v>
      </c>
      <c r="B26" s="23" t="s">
        <v>82</v>
      </c>
      <c r="C26" t="s">
        <v>140</v>
      </c>
      <c r="D26">
        <v>27418</v>
      </c>
      <c r="E26">
        <v>278334</v>
      </c>
      <c r="F26">
        <v>273288</v>
      </c>
      <c r="G26">
        <v>5082</v>
      </c>
      <c r="H26">
        <v>186332</v>
      </c>
      <c r="I26">
        <v>62483</v>
      </c>
      <c r="J26">
        <v>7297</v>
      </c>
      <c r="K26">
        <v>83286</v>
      </c>
      <c r="L26">
        <v>123923</v>
      </c>
      <c r="M26">
        <v>63424</v>
      </c>
      <c r="N26">
        <v>121137</v>
      </c>
      <c r="O26">
        <v>60420</v>
      </c>
      <c r="P26">
        <v>60822</v>
      </c>
      <c r="Q26">
        <v>42150</v>
      </c>
      <c r="R26">
        <v>164264</v>
      </c>
    </row>
    <row r="27" spans="1:30">
      <c r="A27" s="58">
        <v>45107</v>
      </c>
      <c r="B27" s="23" t="s">
        <v>83</v>
      </c>
      <c r="C27" t="s">
        <v>141</v>
      </c>
      <c r="D27">
        <v>27771</v>
      </c>
      <c r="E27">
        <v>274028</v>
      </c>
      <c r="F27">
        <v>269291</v>
      </c>
      <c r="G27">
        <v>4707</v>
      </c>
      <c r="H27">
        <v>193360</v>
      </c>
      <c r="I27">
        <v>66014</v>
      </c>
      <c r="J27">
        <v>16955</v>
      </c>
      <c r="K27">
        <v>79495</v>
      </c>
      <c r="L27">
        <v>122334</v>
      </c>
      <c r="M27">
        <v>58267</v>
      </c>
      <c r="N27">
        <v>121725</v>
      </c>
      <c r="O27">
        <v>59268</v>
      </c>
      <c r="P27">
        <v>62526</v>
      </c>
      <c r="Q27">
        <v>40168</v>
      </c>
      <c r="R27">
        <v>138876</v>
      </c>
    </row>
    <row r="28" spans="1:30">
      <c r="A28" s="58">
        <v>45199</v>
      </c>
      <c r="B28" s="23" t="s">
        <v>84</v>
      </c>
      <c r="C28" t="s">
        <v>142</v>
      </c>
      <c r="D28">
        <v>29989</v>
      </c>
      <c r="E28">
        <v>249901</v>
      </c>
      <c r="F28">
        <v>245412</v>
      </c>
      <c r="G28">
        <v>4510</v>
      </c>
      <c r="H28">
        <v>175385</v>
      </c>
      <c r="I28">
        <v>63572</v>
      </c>
      <c r="J28">
        <v>28077</v>
      </c>
      <c r="K28">
        <v>86301</v>
      </c>
      <c r="L28">
        <v>123528</v>
      </c>
      <c r="M28">
        <v>59255</v>
      </c>
      <c r="N28">
        <v>130109</v>
      </c>
      <c r="O28">
        <v>57076</v>
      </c>
      <c r="P28">
        <v>72954</v>
      </c>
      <c r="Q28">
        <v>39440</v>
      </c>
      <c r="R28">
        <v>142784</v>
      </c>
    </row>
    <row r="29" spans="1:30">
      <c r="A29" s="58">
        <v>45291</v>
      </c>
      <c r="B29" s="23" t="s">
        <v>85</v>
      </c>
      <c r="C29" t="s">
        <v>143</v>
      </c>
      <c r="D29">
        <v>27130</v>
      </c>
      <c r="E29">
        <v>244863</v>
      </c>
      <c r="F29">
        <v>240635</v>
      </c>
      <c r="G29">
        <v>4201</v>
      </c>
      <c r="H29">
        <v>171123</v>
      </c>
      <c r="I29">
        <v>58639</v>
      </c>
      <c r="J29">
        <v>11486</v>
      </c>
      <c r="K29">
        <v>89192</v>
      </c>
      <c r="L29">
        <v>131830</v>
      </c>
      <c r="M29">
        <v>69288</v>
      </c>
      <c r="N29">
        <v>135638</v>
      </c>
      <c r="O29">
        <v>58967</v>
      </c>
      <c r="P29">
        <v>76575</v>
      </c>
      <c r="Q29">
        <v>41177</v>
      </c>
      <c r="R29">
        <v>175848</v>
      </c>
      <c r="AD29" t="s">
        <v>111</v>
      </c>
    </row>
    <row r="30" spans="1:30">
      <c r="A30" s="58">
        <v>45382</v>
      </c>
      <c r="B30" s="23" t="s">
        <v>86</v>
      </c>
      <c r="C30" t="s">
        <v>144</v>
      </c>
      <c r="D30">
        <v>29044</v>
      </c>
      <c r="E30">
        <v>242861</v>
      </c>
      <c r="F30">
        <v>237303</v>
      </c>
      <c r="G30">
        <v>5557</v>
      </c>
      <c r="H30">
        <v>193656</v>
      </c>
      <c r="I30">
        <v>61734</v>
      </c>
      <c r="J30">
        <v>7741</v>
      </c>
      <c r="K30">
        <v>85653</v>
      </c>
      <c r="L30">
        <v>133198</v>
      </c>
      <c r="M30">
        <v>66280</v>
      </c>
      <c r="N30">
        <v>130233</v>
      </c>
      <c r="O30">
        <v>62323</v>
      </c>
      <c r="P30">
        <v>67910</v>
      </c>
      <c r="Q30">
        <v>46123</v>
      </c>
      <c r="R30">
        <v>168528</v>
      </c>
    </row>
    <row r="31" spans="1:30">
      <c r="A31" s="58">
        <v>45473</v>
      </c>
      <c r="B31" s="23" t="s">
        <v>87</v>
      </c>
      <c r="C31" t="s">
        <v>145</v>
      </c>
      <c r="D31">
        <v>29410</v>
      </c>
      <c r="E31">
        <v>242780</v>
      </c>
      <c r="F31">
        <v>237728</v>
      </c>
      <c r="G31">
        <v>5053</v>
      </c>
      <c r="H31">
        <v>201056</v>
      </c>
      <c r="I31">
        <v>67912</v>
      </c>
      <c r="J31">
        <v>18707</v>
      </c>
      <c r="K31">
        <v>83611</v>
      </c>
      <c r="L31">
        <v>132286</v>
      </c>
      <c r="M31">
        <v>60883</v>
      </c>
      <c r="N31">
        <v>132206</v>
      </c>
      <c r="O31">
        <v>61565</v>
      </c>
      <c r="P31">
        <v>70641</v>
      </c>
      <c r="Q31">
        <v>41764</v>
      </c>
      <c r="R31">
        <v>145185</v>
      </c>
    </row>
    <row r="32" spans="1:30">
      <c r="A32" s="58">
        <v>45565</v>
      </c>
      <c r="B32" s="23" t="s">
        <v>88</v>
      </c>
      <c r="C32" t="s">
        <v>146</v>
      </c>
      <c r="D32">
        <v>31598</v>
      </c>
      <c r="E32">
        <v>250222</v>
      </c>
      <c r="F32">
        <v>245430</v>
      </c>
      <c r="G32">
        <v>4792</v>
      </c>
      <c r="H32">
        <v>181005</v>
      </c>
      <c r="I32">
        <v>63083</v>
      </c>
      <c r="J32">
        <v>29115</v>
      </c>
      <c r="K32">
        <v>91189</v>
      </c>
      <c r="L32">
        <v>129962</v>
      </c>
      <c r="M32">
        <v>61683</v>
      </c>
      <c r="N32">
        <v>139094</v>
      </c>
      <c r="O32">
        <v>58642</v>
      </c>
      <c r="P32">
        <v>80451</v>
      </c>
      <c r="Q32">
        <v>41350</v>
      </c>
      <c r="R32">
        <v>148589</v>
      </c>
    </row>
    <row r="33" spans="1:30">
      <c r="A33" s="58">
        <v>45657</v>
      </c>
      <c r="B33" s="23" t="s">
        <v>89</v>
      </c>
      <c r="C33" t="s">
        <v>147</v>
      </c>
      <c r="D33">
        <v>27936</v>
      </c>
      <c r="E33">
        <v>246777</v>
      </c>
      <c r="F33">
        <v>242150</v>
      </c>
      <c r="G33">
        <v>4627</v>
      </c>
      <c r="H33">
        <v>186741</v>
      </c>
      <c r="I33">
        <v>67614</v>
      </c>
      <c r="J33">
        <v>12495</v>
      </c>
      <c r="K33">
        <v>94830</v>
      </c>
      <c r="L33">
        <v>140402</v>
      </c>
      <c r="M33">
        <v>72207</v>
      </c>
      <c r="N33">
        <v>143331</v>
      </c>
      <c r="O33">
        <v>60639</v>
      </c>
      <c r="P33">
        <v>82692</v>
      </c>
      <c r="Q33">
        <v>43322</v>
      </c>
      <c r="R33">
        <v>180185</v>
      </c>
    </row>
    <row r="34" spans="1:30">
      <c r="A34" s="58">
        <v>45747</v>
      </c>
      <c r="B34" s="23" t="s">
        <v>90</v>
      </c>
      <c r="C34" t="s">
        <v>148</v>
      </c>
      <c r="D34">
        <v>30014</v>
      </c>
      <c r="E34">
        <v>239397</v>
      </c>
      <c r="F34">
        <v>233689</v>
      </c>
      <c r="G34">
        <v>5664</v>
      </c>
      <c r="H34">
        <v>202640</v>
      </c>
      <c r="I34">
        <v>64058</v>
      </c>
      <c r="J34">
        <v>7892</v>
      </c>
      <c r="K34">
        <v>89217</v>
      </c>
      <c r="L34">
        <v>143536</v>
      </c>
      <c r="M34">
        <v>70380</v>
      </c>
      <c r="N34">
        <v>138297</v>
      </c>
      <c r="O34">
        <v>64856</v>
      </c>
      <c r="P34">
        <v>73230</v>
      </c>
      <c r="Q34">
        <v>48332</v>
      </c>
      <c r="R34">
        <v>173860</v>
      </c>
    </row>
    <row r="35" spans="1:30">
      <c r="A35" s="58">
        <v>45838</v>
      </c>
      <c r="B35" s="23" t="s">
        <v>91</v>
      </c>
      <c r="C35" t="s">
        <v>149</v>
      </c>
      <c r="D35">
        <v>30729</v>
      </c>
      <c r="E35">
        <v>252871</v>
      </c>
      <c r="F35">
        <v>247711</v>
      </c>
      <c r="G35">
        <v>5160</v>
      </c>
      <c r="H35">
        <v>209286</v>
      </c>
      <c r="I35">
        <v>69731</v>
      </c>
      <c r="J35">
        <v>20634</v>
      </c>
      <c r="K35">
        <v>88102</v>
      </c>
      <c r="L35">
        <v>140881</v>
      </c>
      <c r="M35">
        <v>63235</v>
      </c>
      <c r="N35">
        <v>140772</v>
      </c>
      <c r="O35">
        <v>63844</v>
      </c>
      <c r="P35">
        <v>76860</v>
      </c>
      <c r="Q35">
        <v>43757</v>
      </c>
      <c r="R35">
        <v>145865</v>
      </c>
    </row>
    <row r="36" spans="1:30">
      <c r="A36" s="58">
        <v>45930</v>
      </c>
      <c r="B36" s="23" t="s">
        <v>92</v>
      </c>
      <c r="C36" t="s">
        <v>150</v>
      </c>
      <c r="D36">
        <v>31851</v>
      </c>
      <c r="E36">
        <v>268336</v>
      </c>
      <c r="F36">
        <v>263401</v>
      </c>
      <c r="G36">
        <v>4963</v>
      </c>
      <c r="H36">
        <v>193740</v>
      </c>
      <c r="I36">
        <v>70613</v>
      </c>
      <c r="J36">
        <v>30980</v>
      </c>
      <c r="K36">
        <v>93768</v>
      </c>
      <c r="L36">
        <v>136675</v>
      </c>
      <c r="M36">
        <v>63680</v>
      </c>
      <c r="N36">
        <v>144685</v>
      </c>
      <c r="O36">
        <v>61186</v>
      </c>
      <c r="P36">
        <v>83727</v>
      </c>
      <c r="Q36">
        <v>43381</v>
      </c>
      <c r="R36">
        <v>150604</v>
      </c>
    </row>
    <row r="37" spans="1:30">
      <c r="A37" s="58">
        <v>46022</v>
      </c>
      <c r="B37" s="24" t="s">
        <v>93</v>
      </c>
      <c r="C37" t="s">
        <v>151</v>
      </c>
      <c r="D37">
        <v>28965</v>
      </c>
      <c r="E37">
        <v>276952</v>
      </c>
      <c r="F37">
        <v>272237</v>
      </c>
      <c r="G37">
        <v>4764</v>
      </c>
      <c r="H37">
        <v>195753</v>
      </c>
      <c r="I37">
        <v>71000</v>
      </c>
      <c r="J37">
        <v>12607</v>
      </c>
      <c r="K37">
        <v>98592</v>
      </c>
      <c r="L37">
        <v>147972</v>
      </c>
      <c r="M37">
        <v>74572</v>
      </c>
      <c r="N37">
        <v>148960</v>
      </c>
      <c r="O37">
        <v>62800</v>
      </c>
      <c r="P37">
        <v>86408</v>
      </c>
      <c r="Q37">
        <v>45166</v>
      </c>
      <c r="R37">
        <v>178064</v>
      </c>
    </row>
    <row r="38" spans="1:30">
      <c r="AD38" s="59" t="s">
        <v>113</v>
      </c>
    </row>
    <row r="39" spans="1:30">
      <c r="AD39" s="59" t="s">
        <v>101</v>
      </c>
    </row>
    <row r="40" spans="1:30" ht="72">
      <c r="AD40" s="63" t="s">
        <v>102</v>
      </c>
    </row>
    <row r="41" spans="1:30">
      <c r="AD41" s="59" t="s">
        <v>103</v>
      </c>
    </row>
    <row r="42" spans="1:30">
      <c r="AD42" s="59" t="s">
        <v>104</v>
      </c>
    </row>
    <row r="43" spans="1:30">
      <c r="AD43" s="59" t="s">
        <v>105</v>
      </c>
    </row>
    <row r="44" spans="1:30">
      <c r="AD44" s="59" t="s">
        <v>114</v>
      </c>
    </row>
    <row r="45" spans="1:30">
      <c r="AD45" s="59" t="s">
        <v>106</v>
      </c>
    </row>
    <row r="46" spans="1:30">
      <c r="AD46" s="59" t="s">
        <v>115</v>
      </c>
    </row>
    <row r="47" spans="1:30">
      <c r="AD47" s="59" t="s">
        <v>107</v>
      </c>
    </row>
    <row r="48" spans="1:30">
      <c r="AD48" s="59" t="s">
        <v>108</v>
      </c>
    </row>
    <row r="49" spans="30:30">
      <c r="AD49" s="59" t="s">
        <v>109</v>
      </c>
    </row>
    <row r="50" spans="30:30">
      <c r="AD50" s="59" t="s">
        <v>110</v>
      </c>
    </row>
    <row r="51" spans="30:30">
      <c r="AD51" s="59" t="s">
        <v>111</v>
      </c>
    </row>
    <row r="52" spans="30:30">
      <c r="AD52" s="60" t="s">
        <v>3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B21-CCA1-45FE-891A-6912990B9D55}">
  <sheetPr codeName="Sheet10">
    <tabColor rgb="FFFFFF00"/>
  </sheetPr>
  <dimension ref="B2:AA258"/>
  <sheetViews>
    <sheetView zoomScale="160" zoomScaleNormal="160" workbookViewId="0">
      <selection activeCell="L31" sqref="L31"/>
    </sheetView>
  </sheetViews>
  <sheetFormatPr defaultColWidth="9.109375" defaultRowHeight="10.8"/>
  <cols>
    <col min="1" max="1" width="9.109375" style="39"/>
    <col min="2" max="2" width="10.44140625" style="40" bestFit="1" customWidth="1"/>
    <col min="3" max="13" width="9.109375" style="43"/>
    <col min="14" max="14" width="14.88671875" style="43" customWidth="1"/>
    <col min="15" max="15" width="16.33203125" style="43" customWidth="1"/>
    <col min="16" max="17" width="9.109375" style="43"/>
    <col min="18" max="18" width="9.109375" style="39"/>
    <col min="19" max="19" width="8.88671875" style="39" bestFit="1" customWidth="1"/>
    <col min="20" max="20" width="7.109375" style="39" bestFit="1" customWidth="1"/>
    <col min="21" max="21" width="22.109375" style="39" customWidth="1"/>
    <col min="22" max="22" width="10.6640625" style="39" bestFit="1" customWidth="1"/>
    <col min="23" max="23" width="7" style="39" bestFit="1" customWidth="1"/>
    <col min="24" max="24" width="5.44140625" style="39" bestFit="1" customWidth="1"/>
    <col min="25" max="25" width="9.109375" style="39"/>
    <col min="26" max="26" width="37.88671875" style="61" customWidth="1"/>
    <col min="27" max="16384" width="9.109375" style="39"/>
  </cols>
  <sheetData>
    <row r="2" spans="2:27">
      <c r="B2" s="39"/>
    </row>
    <row r="3" spans="2:27">
      <c r="B3" s="41" t="s">
        <v>112</v>
      </c>
    </row>
    <row r="4" spans="2:27" ht="43.2">
      <c r="B4" s="40" t="str" cm="1">
        <f t="array" ref="B4:S40">GDP_By_Kind_of_Economic_Activities[#All]</f>
        <v>Date</v>
      </c>
      <c r="C4" s="43" t="str">
        <v>Quarter</v>
      </c>
      <c r="D4" s="43" t="str">
        <v>Quarter2</v>
      </c>
      <c r="E4" s="43" t="str">
        <v>Agriculture</v>
      </c>
      <c r="F4" s="43" t="str">
        <v>Mining &amp; Quarrying</v>
      </c>
      <c r="G4" s="43" t="str">
        <v>Crude Petroleum &amp; Natural Gas</v>
      </c>
      <c r="H4" s="43" t="str">
        <v>Other Mining &amp; Quarrying</v>
      </c>
      <c r="I4" s="43" t="str">
        <v>Manufacturing</v>
      </c>
      <c r="J4" s="43" t="str">
        <v>Petroleum Refining</v>
      </c>
      <c r="K4" s="43" t="str">
        <v>Energy</v>
      </c>
      <c r="L4" s="43" t="str">
        <v>Construction</v>
      </c>
      <c r="M4" s="43" t="str">
        <v>Trade</v>
      </c>
      <c r="N4" s="43" t="str">
        <v>Transport, Storage &amp; Communication</v>
      </c>
      <c r="O4" s="43" t="str">
        <v>Finance, Insurance, Real Estate &amp; Business Services</v>
      </c>
      <c r="P4" s="43" t="str">
        <v>Real Estate</v>
      </c>
      <c r="Q4" s="43" t="str">
        <v>Finance , Insurance and Business services</v>
      </c>
      <c r="R4" s="39" t="str">
        <v>Community, Social &amp; Personal Services</v>
      </c>
      <c r="S4" s="39" t="str">
        <v>Government Activities</v>
      </c>
      <c r="U4" s="70" t="s">
        <v>156</v>
      </c>
      <c r="V4" s="70"/>
      <c r="Z4" s="70" t="s">
        <v>157</v>
      </c>
      <c r="AA4" s="70"/>
    </row>
    <row r="5" spans="2:27">
      <c r="B5" s="40">
        <v>42825</v>
      </c>
      <c r="C5" s="43" t="str">
        <v>2017Q1</v>
      </c>
      <c r="D5" s="43" t="str">
        <v>2017 Q1</v>
      </c>
      <c r="E5" s="43">
        <v>24373</v>
      </c>
      <c r="F5" s="43">
        <v>266363</v>
      </c>
      <c r="G5" s="43">
        <v>262285</v>
      </c>
      <c r="H5" s="43">
        <v>3936</v>
      </c>
      <c r="I5" s="43">
        <v>146699</v>
      </c>
      <c r="J5" s="43">
        <v>61846</v>
      </c>
      <c r="K5" s="43">
        <v>5988</v>
      </c>
      <c r="L5" s="43">
        <v>51412</v>
      </c>
      <c r="M5" s="43">
        <v>86822</v>
      </c>
      <c r="N5" s="43">
        <v>49184</v>
      </c>
      <c r="O5" s="43">
        <v>93203</v>
      </c>
      <c r="P5" s="43">
        <v>51858</v>
      </c>
      <c r="Q5" s="43">
        <v>40845</v>
      </c>
      <c r="R5" s="43">
        <v>24997</v>
      </c>
      <c r="S5" s="43">
        <v>141861</v>
      </c>
      <c r="T5" s="43"/>
      <c r="U5" s="64" t="s">
        <v>113</v>
      </c>
      <c r="V5" s="43" cm="1">
        <f t="array" ref="V5:V19">TRANSPOSE(_xlfn.XLOOKUP(Dashboard!$A$1,$C$5:$C$40,$E$5:$S$40))</f>
        <v>26563</v>
      </c>
      <c r="Z5" s="61" t="str" cm="1">
        <f t="array" ref="Z5:Z19">_xlfn.SORTBY($U$5:$U$19,_xlfn.ANCHORARRAY($V$5),1)</f>
        <v>Other Mining &amp; Quarrying</v>
      </c>
      <c r="AA5" s="43" cm="1">
        <f t="array" ref="AA5:AA19">_xlfn.XLOOKUP(_xlfn.ANCHORARRAY(Z5),$U$5:$U19,_xlfn.ANCHORARRAY(V5))</f>
        <v>4228</v>
      </c>
    </row>
    <row r="6" spans="2:27">
      <c r="B6" s="40">
        <v>42916</v>
      </c>
      <c r="C6" s="43" t="str">
        <v>2017Q2</v>
      </c>
      <c r="D6" s="43" t="str">
        <v>2017 Q2</v>
      </c>
      <c r="E6" s="43">
        <v>26197</v>
      </c>
      <c r="F6" s="43">
        <v>267970</v>
      </c>
      <c r="G6" s="43">
        <v>264429</v>
      </c>
      <c r="H6" s="43">
        <v>3644</v>
      </c>
      <c r="I6" s="43">
        <v>149510</v>
      </c>
      <c r="J6" s="43">
        <v>65603</v>
      </c>
      <c r="K6" s="43">
        <v>16120</v>
      </c>
      <c r="L6" s="43">
        <v>49324</v>
      </c>
      <c r="M6" s="43">
        <v>81924</v>
      </c>
      <c r="N6" s="43">
        <v>47480</v>
      </c>
      <c r="O6" s="43">
        <v>92784</v>
      </c>
      <c r="P6" s="43">
        <v>51137</v>
      </c>
      <c r="Q6" s="43">
        <v>41218</v>
      </c>
      <c r="R6" s="43">
        <v>24718</v>
      </c>
      <c r="S6" s="43">
        <v>129052</v>
      </c>
      <c r="T6" s="43"/>
      <c r="U6" s="64" t="s">
        <v>101</v>
      </c>
      <c r="V6" s="43">
        <v>231540</v>
      </c>
      <c r="Z6" s="61" t="str">
        <v>Energy</v>
      </c>
      <c r="AA6" s="43">
        <v>15595</v>
      </c>
    </row>
    <row r="7" spans="2:27">
      <c r="B7" s="40">
        <v>43008</v>
      </c>
      <c r="C7" s="43" t="str">
        <v>2017Q3</v>
      </c>
      <c r="D7" s="43" t="str">
        <v>2017 Q3</v>
      </c>
      <c r="E7" s="43">
        <v>27068</v>
      </c>
      <c r="F7" s="43">
        <v>271465</v>
      </c>
      <c r="G7" s="43">
        <v>267701</v>
      </c>
      <c r="H7" s="43">
        <v>3790</v>
      </c>
      <c r="I7" s="43">
        <v>146310</v>
      </c>
      <c r="J7" s="43">
        <v>67975</v>
      </c>
      <c r="K7" s="43">
        <v>24018</v>
      </c>
      <c r="L7" s="43">
        <v>53923</v>
      </c>
      <c r="M7" s="43">
        <v>89668</v>
      </c>
      <c r="N7" s="43">
        <v>45764</v>
      </c>
      <c r="O7" s="43">
        <v>91896</v>
      </c>
      <c r="P7" s="43">
        <v>49976</v>
      </c>
      <c r="Q7" s="43">
        <v>41592</v>
      </c>
      <c r="R7" s="43">
        <v>24175</v>
      </c>
      <c r="S7" s="43">
        <v>122371</v>
      </c>
      <c r="T7" s="43"/>
      <c r="U7" s="64" t="s">
        <v>102</v>
      </c>
      <c r="V7" s="43">
        <v>227047</v>
      </c>
      <c r="Z7" s="61" t="str">
        <v>Agriculture</v>
      </c>
      <c r="AA7" s="43">
        <v>26563</v>
      </c>
    </row>
    <row r="8" spans="2:27">
      <c r="B8" s="40">
        <v>43100</v>
      </c>
      <c r="C8" s="43" t="str">
        <v>2017Q4</v>
      </c>
      <c r="D8" s="43" t="str">
        <v>2017 Q4</v>
      </c>
      <c r="E8" s="43">
        <v>21843</v>
      </c>
      <c r="F8" s="43">
        <v>268215</v>
      </c>
      <c r="G8" s="43">
        <v>265262</v>
      </c>
      <c r="H8" s="43">
        <v>3314</v>
      </c>
      <c r="I8" s="43">
        <v>143413</v>
      </c>
      <c r="J8" s="43">
        <v>67040</v>
      </c>
      <c r="K8" s="43">
        <v>10163</v>
      </c>
      <c r="L8" s="43">
        <v>56069</v>
      </c>
      <c r="M8" s="43">
        <v>94104</v>
      </c>
      <c r="N8" s="43">
        <v>51986</v>
      </c>
      <c r="O8" s="43">
        <v>100527</v>
      </c>
      <c r="P8" s="43">
        <v>51945</v>
      </c>
      <c r="Q8" s="43">
        <v>48608</v>
      </c>
      <c r="R8" s="43">
        <v>24824</v>
      </c>
      <c r="S8" s="43">
        <v>160031</v>
      </c>
      <c r="T8" s="43"/>
      <c r="U8" s="64" t="s">
        <v>103</v>
      </c>
      <c r="V8" s="43">
        <v>4228</v>
      </c>
      <c r="Z8" s="61" t="str">
        <v>Community, Social &amp; Personal Services</v>
      </c>
      <c r="AA8" s="43">
        <v>31705</v>
      </c>
    </row>
    <row r="9" spans="2:27">
      <c r="B9" s="40">
        <v>43190</v>
      </c>
      <c r="C9" s="43" t="str">
        <v>2018Q1</v>
      </c>
      <c r="D9" s="43" t="str">
        <v>2018 Q1</v>
      </c>
      <c r="E9" s="43">
        <v>24989</v>
      </c>
      <c r="F9" s="43">
        <v>268144</v>
      </c>
      <c r="G9" s="43">
        <v>263823</v>
      </c>
      <c r="H9" s="43">
        <v>4191</v>
      </c>
      <c r="I9" s="43">
        <v>147687</v>
      </c>
      <c r="J9" s="43">
        <v>61149</v>
      </c>
      <c r="K9" s="43">
        <v>5918</v>
      </c>
      <c r="L9" s="43">
        <v>54035</v>
      </c>
      <c r="M9" s="43">
        <v>89507</v>
      </c>
      <c r="N9" s="43">
        <v>50453</v>
      </c>
      <c r="O9" s="43">
        <v>96697</v>
      </c>
      <c r="P9" s="43">
        <v>53612</v>
      </c>
      <c r="Q9" s="43">
        <v>42608</v>
      </c>
      <c r="R9" s="43">
        <v>26722</v>
      </c>
      <c r="S9" s="43">
        <v>148584</v>
      </c>
      <c r="T9" s="43"/>
      <c r="U9" s="64" t="s">
        <v>104</v>
      </c>
      <c r="V9" s="43">
        <v>162927</v>
      </c>
      <c r="Z9" s="61" t="str">
        <v>Transport, Storage &amp; Communication</v>
      </c>
      <c r="AA9" s="43">
        <v>47259</v>
      </c>
    </row>
    <row r="10" spans="2:27">
      <c r="B10" s="40">
        <v>43281</v>
      </c>
      <c r="C10" s="43" t="str">
        <v>2018Q2</v>
      </c>
      <c r="D10" s="43" t="str">
        <v>2018 Q2</v>
      </c>
      <c r="E10" s="43">
        <v>26998</v>
      </c>
      <c r="F10" s="43">
        <v>272436</v>
      </c>
      <c r="G10" s="43">
        <v>268762</v>
      </c>
      <c r="H10" s="43">
        <v>3751</v>
      </c>
      <c r="I10" s="43">
        <v>150671</v>
      </c>
      <c r="J10" s="43">
        <v>62892</v>
      </c>
      <c r="K10" s="43">
        <v>15631</v>
      </c>
      <c r="L10" s="43">
        <v>52794</v>
      </c>
      <c r="M10" s="43">
        <v>84824</v>
      </c>
      <c r="N10" s="43">
        <v>47951</v>
      </c>
      <c r="O10" s="43">
        <v>97795</v>
      </c>
      <c r="P10" s="43">
        <v>52575</v>
      </c>
      <c r="Q10" s="43">
        <v>44952</v>
      </c>
      <c r="R10" s="43">
        <v>26944</v>
      </c>
      <c r="S10" s="43">
        <v>139218</v>
      </c>
      <c r="T10" s="43"/>
      <c r="U10" s="64" t="s">
        <v>105</v>
      </c>
      <c r="V10" s="43">
        <v>57893</v>
      </c>
      <c r="Z10" s="61" t="str">
        <v>Construction</v>
      </c>
      <c r="AA10" s="43">
        <v>51825</v>
      </c>
    </row>
    <row r="11" spans="2:27">
      <c r="B11" s="40">
        <v>43373</v>
      </c>
      <c r="C11" s="43" t="str">
        <v>2018Q3</v>
      </c>
      <c r="D11" s="43" t="str">
        <v>2018 Q3</v>
      </c>
      <c r="E11" s="43">
        <v>27499</v>
      </c>
      <c r="F11" s="43">
        <v>282727</v>
      </c>
      <c r="G11" s="43">
        <v>279007</v>
      </c>
      <c r="H11" s="43">
        <v>3827</v>
      </c>
      <c r="I11" s="43">
        <v>146694</v>
      </c>
      <c r="J11" s="43">
        <v>65839</v>
      </c>
      <c r="K11" s="43">
        <v>23784</v>
      </c>
      <c r="L11" s="43">
        <v>57023</v>
      </c>
      <c r="M11" s="43">
        <v>92377</v>
      </c>
      <c r="N11" s="43">
        <v>47387</v>
      </c>
      <c r="O11" s="43">
        <v>95715</v>
      </c>
      <c r="P11" s="43">
        <v>51161</v>
      </c>
      <c r="Q11" s="43">
        <v>44329</v>
      </c>
      <c r="R11" s="43">
        <v>25862</v>
      </c>
      <c r="S11" s="43">
        <v>123729</v>
      </c>
      <c r="T11" s="43"/>
      <c r="U11" s="64" t="s">
        <v>114</v>
      </c>
      <c r="V11" s="43">
        <v>15595</v>
      </c>
      <c r="Z11" s="61" t="str">
        <v>Finance , Insurance and Business services</v>
      </c>
      <c r="AA11" s="43">
        <v>52717</v>
      </c>
    </row>
    <row r="12" spans="2:27">
      <c r="B12" s="40">
        <v>43465</v>
      </c>
      <c r="C12" s="43" t="str">
        <v>2018Q4</v>
      </c>
      <c r="D12" s="43" t="str">
        <v>2018 Q4</v>
      </c>
      <c r="E12" s="43">
        <v>22295</v>
      </c>
      <c r="F12" s="43">
        <v>289811</v>
      </c>
      <c r="G12" s="43">
        <v>286801</v>
      </c>
      <c r="H12" s="43">
        <v>3355</v>
      </c>
      <c r="I12" s="43">
        <v>144364</v>
      </c>
      <c r="J12" s="43">
        <v>64088</v>
      </c>
      <c r="K12" s="43">
        <v>9405</v>
      </c>
      <c r="L12" s="43">
        <v>56723</v>
      </c>
      <c r="M12" s="43">
        <v>95296</v>
      </c>
      <c r="N12" s="43">
        <v>53514</v>
      </c>
      <c r="O12" s="43">
        <v>105380</v>
      </c>
      <c r="P12" s="43">
        <v>53176</v>
      </c>
      <c r="Q12" s="43">
        <v>52366</v>
      </c>
      <c r="R12" s="43">
        <v>26436</v>
      </c>
      <c r="S12" s="43">
        <v>163205</v>
      </c>
      <c r="T12" s="43"/>
      <c r="U12" s="64" t="s">
        <v>106</v>
      </c>
      <c r="V12" s="43">
        <v>51825</v>
      </c>
      <c r="Z12" s="61" t="str">
        <v>Real Estate</v>
      </c>
      <c r="AA12" s="43">
        <v>56531</v>
      </c>
    </row>
    <row r="13" spans="2:27">
      <c r="B13" s="40">
        <v>43555</v>
      </c>
      <c r="C13" s="43" t="str">
        <v>2019Q1</v>
      </c>
      <c r="D13" s="43" t="str">
        <v>2019 Q1</v>
      </c>
      <c r="E13" s="43">
        <v>25095</v>
      </c>
      <c r="F13" s="43">
        <v>269820</v>
      </c>
      <c r="G13" s="43">
        <v>265402</v>
      </c>
      <c r="H13" s="43">
        <v>4521</v>
      </c>
      <c r="I13" s="43">
        <v>152930</v>
      </c>
      <c r="J13" s="43">
        <v>62353</v>
      </c>
      <c r="K13" s="43">
        <v>6469</v>
      </c>
      <c r="L13" s="43">
        <v>57313</v>
      </c>
      <c r="M13" s="43">
        <v>91754</v>
      </c>
      <c r="N13" s="43">
        <v>54908</v>
      </c>
      <c r="O13" s="43">
        <v>101889</v>
      </c>
      <c r="P13" s="43">
        <v>55470</v>
      </c>
      <c r="Q13" s="43">
        <v>46096</v>
      </c>
      <c r="R13" s="43">
        <v>27917</v>
      </c>
      <c r="S13" s="43">
        <v>150640</v>
      </c>
      <c r="T13" s="43"/>
      <c r="U13" s="64" t="s">
        <v>115</v>
      </c>
      <c r="V13" s="43">
        <v>101440</v>
      </c>
      <c r="Z13" s="61" t="str">
        <v>Petroleum Refining</v>
      </c>
      <c r="AA13" s="43">
        <v>57893</v>
      </c>
    </row>
    <row r="14" spans="2:27">
      <c r="B14" s="40">
        <v>43646</v>
      </c>
      <c r="C14" s="43" t="str">
        <v>2019Q2</v>
      </c>
      <c r="D14" s="43" t="str">
        <v>2019 Q2</v>
      </c>
      <c r="E14" s="43">
        <v>27061</v>
      </c>
      <c r="F14" s="43">
        <v>263628</v>
      </c>
      <c r="G14" s="43">
        <v>259742</v>
      </c>
      <c r="H14" s="43">
        <v>3983</v>
      </c>
      <c r="I14" s="43">
        <v>153371</v>
      </c>
      <c r="J14" s="43">
        <v>60802</v>
      </c>
      <c r="K14" s="43">
        <v>15620</v>
      </c>
      <c r="L14" s="43">
        <v>55464</v>
      </c>
      <c r="M14" s="43">
        <v>88592</v>
      </c>
      <c r="N14" s="43">
        <v>52472</v>
      </c>
      <c r="O14" s="43">
        <v>102576</v>
      </c>
      <c r="P14" s="43">
        <v>52796</v>
      </c>
      <c r="Q14" s="43">
        <v>49736</v>
      </c>
      <c r="R14" s="43">
        <v>28318</v>
      </c>
      <c r="S14" s="43">
        <v>140746</v>
      </c>
      <c r="T14" s="43"/>
      <c r="U14" s="64" t="s">
        <v>107</v>
      </c>
      <c r="V14" s="43">
        <v>47259</v>
      </c>
      <c r="Z14" s="61" t="str">
        <v>Trade</v>
      </c>
      <c r="AA14" s="43">
        <v>101440</v>
      </c>
    </row>
    <row r="15" spans="2:27">
      <c r="B15" s="40">
        <v>43738</v>
      </c>
      <c r="C15" s="43" t="str">
        <v>2019Q3</v>
      </c>
      <c r="D15" s="43" t="str">
        <v>2019 Q3</v>
      </c>
      <c r="E15" s="43">
        <v>27730</v>
      </c>
      <c r="F15" s="43">
        <v>263963</v>
      </c>
      <c r="G15" s="43">
        <v>259805</v>
      </c>
      <c r="H15" s="43">
        <v>4257</v>
      </c>
      <c r="I15" s="43">
        <v>149921</v>
      </c>
      <c r="J15" s="43">
        <v>62121</v>
      </c>
      <c r="K15" s="43">
        <v>24089</v>
      </c>
      <c r="L15" s="43">
        <v>57471</v>
      </c>
      <c r="M15" s="43">
        <v>98425</v>
      </c>
      <c r="N15" s="43">
        <v>50358</v>
      </c>
      <c r="O15" s="43">
        <v>100409</v>
      </c>
      <c r="P15" s="43">
        <v>51754</v>
      </c>
      <c r="Q15" s="43">
        <v>48605</v>
      </c>
      <c r="R15" s="43">
        <v>27738</v>
      </c>
      <c r="S15" s="43">
        <v>129495</v>
      </c>
      <c r="T15" s="43"/>
      <c r="U15" s="64" t="s">
        <v>108</v>
      </c>
      <c r="V15" s="43">
        <v>109332</v>
      </c>
      <c r="Z15" s="61" t="str">
        <v>Finance, Insurance, Real Estate &amp; Business Services</v>
      </c>
      <c r="AA15" s="43">
        <v>109332</v>
      </c>
    </row>
    <row r="16" spans="2:27">
      <c r="B16" s="40">
        <v>43830</v>
      </c>
      <c r="C16" s="43" t="str">
        <v>2019Q4</v>
      </c>
      <c r="D16" s="43" t="str">
        <v>2019 Q4</v>
      </c>
      <c r="E16" s="43">
        <v>22623</v>
      </c>
      <c r="F16" s="43">
        <v>272036</v>
      </c>
      <c r="G16" s="43">
        <v>268434</v>
      </c>
      <c r="H16" s="43">
        <v>3699</v>
      </c>
      <c r="I16" s="43">
        <v>149693</v>
      </c>
      <c r="J16" s="43">
        <v>61823</v>
      </c>
      <c r="K16" s="43">
        <v>9924</v>
      </c>
      <c r="L16" s="43">
        <v>56891</v>
      </c>
      <c r="M16" s="43">
        <v>104451</v>
      </c>
      <c r="N16" s="43">
        <v>54495</v>
      </c>
      <c r="O16" s="43">
        <v>109234</v>
      </c>
      <c r="P16" s="43">
        <v>54199</v>
      </c>
      <c r="Q16" s="43">
        <v>55175</v>
      </c>
      <c r="R16" s="43">
        <v>28647</v>
      </c>
      <c r="S16" s="43">
        <v>163790</v>
      </c>
      <c r="T16" s="43"/>
      <c r="U16" s="64" t="s">
        <v>109</v>
      </c>
      <c r="V16" s="43">
        <v>56531</v>
      </c>
      <c r="Z16" s="61" t="str">
        <v>Government Activities</v>
      </c>
      <c r="AA16" s="43">
        <v>133593</v>
      </c>
    </row>
    <row r="17" spans="2:27">
      <c r="B17" s="40">
        <v>43921</v>
      </c>
      <c r="C17" s="43" t="str">
        <v>2020Q1</v>
      </c>
      <c r="D17" s="43" t="str">
        <v>2020 Q1</v>
      </c>
      <c r="E17" s="43">
        <v>25183</v>
      </c>
      <c r="F17" s="43">
        <v>262656</v>
      </c>
      <c r="G17" s="43">
        <v>257787</v>
      </c>
      <c r="H17" s="43">
        <v>4858</v>
      </c>
      <c r="I17" s="43">
        <v>142871</v>
      </c>
      <c r="J17" s="43">
        <v>47357</v>
      </c>
      <c r="K17" s="43">
        <v>6422</v>
      </c>
      <c r="L17" s="43">
        <v>55026</v>
      </c>
      <c r="M17" s="43">
        <v>94482</v>
      </c>
      <c r="N17" s="43">
        <v>51693</v>
      </c>
      <c r="O17" s="43">
        <v>102946</v>
      </c>
      <c r="P17" s="43">
        <v>55233</v>
      </c>
      <c r="Q17" s="43">
        <v>47517</v>
      </c>
      <c r="R17" s="43">
        <v>30641</v>
      </c>
      <c r="S17" s="43">
        <v>151274</v>
      </c>
      <c r="T17" s="43"/>
      <c r="U17" s="64" t="s">
        <v>110</v>
      </c>
      <c r="V17" s="43">
        <v>52717</v>
      </c>
      <c r="Z17" s="61" t="str">
        <v>Manufacturing</v>
      </c>
      <c r="AA17" s="43">
        <v>162927</v>
      </c>
    </row>
    <row r="18" spans="2:27">
      <c r="B18" s="40">
        <v>44012</v>
      </c>
      <c r="C18" s="43" t="str">
        <v>2020Q2</v>
      </c>
      <c r="D18" s="43" t="str">
        <v>2020 Q2</v>
      </c>
      <c r="E18" s="43">
        <v>26445</v>
      </c>
      <c r="F18" s="43">
        <v>251990</v>
      </c>
      <c r="G18" s="43">
        <v>248118</v>
      </c>
      <c r="H18" s="43">
        <v>3955</v>
      </c>
      <c r="I18" s="43">
        <v>138925</v>
      </c>
      <c r="J18" s="43">
        <v>52393</v>
      </c>
      <c r="K18" s="43">
        <v>14468</v>
      </c>
      <c r="L18" s="43">
        <v>49076</v>
      </c>
      <c r="M18" s="43">
        <v>72503</v>
      </c>
      <c r="N18" s="43">
        <v>40372</v>
      </c>
      <c r="O18" s="43">
        <v>101768</v>
      </c>
      <c r="P18" s="43">
        <v>53098</v>
      </c>
      <c r="Q18" s="43">
        <v>48573</v>
      </c>
      <c r="R18" s="43">
        <v>28926</v>
      </c>
      <c r="S18" s="43">
        <v>137925</v>
      </c>
      <c r="T18" s="43"/>
      <c r="U18" s="64" t="s">
        <v>111</v>
      </c>
      <c r="V18" s="43">
        <v>31705</v>
      </c>
      <c r="Z18" s="61" t="str">
        <v>Crude Petroleum &amp; Natural Gas</v>
      </c>
      <c r="AA18" s="43">
        <v>227047</v>
      </c>
    </row>
    <row r="19" spans="2:27">
      <c r="B19" s="40">
        <v>44104</v>
      </c>
      <c r="C19" s="43" t="str">
        <v>2020Q3</v>
      </c>
      <c r="D19" s="43" t="str">
        <v>2020 Q3</v>
      </c>
      <c r="E19" s="43">
        <v>29109</v>
      </c>
      <c r="F19" s="43">
        <v>245302</v>
      </c>
      <c r="G19" s="43">
        <v>240924</v>
      </c>
      <c r="H19" s="43">
        <v>4387</v>
      </c>
      <c r="I19" s="43">
        <v>141839</v>
      </c>
      <c r="J19" s="43">
        <v>50762</v>
      </c>
      <c r="K19" s="43">
        <v>24547</v>
      </c>
      <c r="L19" s="43">
        <v>53839</v>
      </c>
      <c r="M19" s="43">
        <v>93871</v>
      </c>
      <c r="N19" s="43">
        <v>44233</v>
      </c>
      <c r="O19" s="43">
        <v>101573</v>
      </c>
      <c r="P19" s="43">
        <v>53414</v>
      </c>
      <c r="Q19" s="43">
        <v>48035</v>
      </c>
      <c r="R19" s="43">
        <v>29524</v>
      </c>
      <c r="S19" s="43">
        <v>130398</v>
      </c>
      <c r="T19" s="43"/>
      <c r="U19" s="64" t="s">
        <v>3</v>
      </c>
      <c r="V19" s="43">
        <v>133593</v>
      </c>
      <c r="Z19" s="61" t="str">
        <v>Mining &amp; Quarrying</v>
      </c>
      <c r="AA19" s="43">
        <v>231540</v>
      </c>
    </row>
    <row r="20" spans="2:27">
      <c r="B20" s="40">
        <v>44196</v>
      </c>
      <c r="C20" s="43" t="str">
        <v>2020Q4</v>
      </c>
      <c r="D20" s="43" t="str">
        <v>2020 Q4</v>
      </c>
      <c r="E20" s="43">
        <v>23276</v>
      </c>
      <c r="F20" s="43">
        <v>246275</v>
      </c>
      <c r="G20" s="43">
        <v>242630</v>
      </c>
      <c r="H20" s="43">
        <v>3743</v>
      </c>
      <c r="I20" s="43">
        <v>154115</v>
      </c>
      <c r="J20" s="43">
        <v>63710</v>
      </c>
      <c r="K20" s="43">
        <v>10230</v>
      </c>
      <c r="L20" s="43">
        <v>54852</v>
      </c>
      <c r="M20" s="43">
        <v>102714</v>
      </c>
      <c r="N20" s="43">
        <v>48294</v>
      </c>
      <c r="O20" s="43">
        <v>111295</v>
      </c>
      <c r="P20" s="43">
        <v>56058</v>
      </c>
      <c r="Q20" s="43">
        <v>55259</v>
      </c>
      <c r="R20" s="43">
        <v>29649</v>
      </c>
      <c r="S20" s="43">
        <v>161578</v>
      </c>
      <c r="T20" s="43"/>
      <c r="U20" s="43"/>
      <c r="V20" s="43"/>
      <c r="AA20" s="43"/>
    </row>
    <row r="21" spans="2:27">
      <c r="B21" s="40">
        <v>44286</v>
      </c>
      <c r="C21" s="43" t="str">
        <v>2021Q1</v>
      </c>
      <c r="D21" s="43" t="str">
        <v>2021 Q1</v>
      </c>
      <c r="E21" s="43">
        <v>25797</v>
      </c>
      <c r="F21" s="43">
        <v>227405</v>
      </c>
      <c r="G21" s="43">
        <v>221467</v>
      </c>
      <c r="H21" s="43">
        <v>4945</v>
      </c>
      <c r="I21" s="43">
        <v>163695</v>
      </c>
      <c r="J21" s="43">
        <v>57617</v>
      </c>
      <c r="K21" s="43">
        <v>6467</v>
      </c>
      <c r="L21" s="43">
        <v>55678</v>
      </c>
      <c r="M21" s="43">
        <v>102023</v>
      </c>
      <c r="N21" s="43">
        <v>50172</v>
      </c>
      <c r="O21" s="43">
        <v>107613</v>
      </c>
      <c r="P21" s="43">
        <v>58196</v>
      </c>
      <c r="Q21" s="43">
        <v>49236</v>
      </c>
      <c r="R21" s="39">
        <v>34990</v>
      </c>
      <c r="S21" s="39">
        <v>154050</v>
      </c>
    </row>
    <row r="22" spans="2:27">
      <c r="B22" s="40">
        <v>44377</v>
      </c>
      <c r="C22" s="43" t="str">
        <v>2021Q2</v>
      </c>
      <c r="D22" s="43" t="str">
        <v>2021 Q2</v>
      </c>
      <c r="E22" s="43">
        <v>26563</v>
      </c>
      <c r="F22" s="43">
        <v>231540</v>
      </c>
      <c r="G22" s="43">
        <v>227047</v>
      </c>
      <c r="H22" s="43">
        <v>4228</v>
      </c>
      <c r="I22" s="43">
        <v>162927</v>
      </c>
      <c r="J22" s="43">
        <v>57893</v>
      </c>
      <c r="K22" s="43">
        <v>15595</v>
      </c>
      <c r="L22" s="43">
        <v>51825</v>
      </c>
      <c r="M22" s="43">
        <v>101440</v>
      </c>
      <c r="N22" s="43">
        <v>47259</v>
      </c>
      <c r="O22" s="43">
        <v>109332</v>
      </c>
      <c r="P22" s="43">
        <v>56531</v>
      </c>
      <c r="Q22" s="43">
        <v>52717</v>
      </c>
      <c r="R22" s="39">
        <v>31705</v>
      </c>
      <c r="S22" s="39">
        <v>133593</v>
      </c>
    </row>
    <row r="23" spans="2:27">
      <c r="B23" s="40">
        <v>44469</v>
      </c>
      <c r="C23" s="43" t="str">
        <v>2021Q3</v>
      </c>
      <c r="D23" s="43" t="str">
        <v>2021 Q3</v>
      </c>
      <c r="E23" s="43">
        <v>29172</v>
      </c>
      <c r="F23" s="43">
        <v>265611</v>
      </c>
      <c r="G23" s="43">
        <v>261402</v>
      </c>
      <c r="H23" s="43">
        <v>4360</v>
      </c>
      <c r="I23" s="43">
        <v>155648</v>
      </c>
      <c r="J23" s="43">
        <v>60496</v>
      </c>
      <c r="K23" s="43">
        <v>25400</v>
      </c>
      <c r="L23" s="43">
        <v>60568</v>
      </c>
      <c r="M23" s="43">
        <v>103750</v>
      </c>
      <c r="N23" s="43">
        <v>50971</v>
      </c>
      <c r="O23" s="43">
        <v>112024</v>
      </c>
      <c r="P23" s="43">
        <v>54678</v>
      </c>
      <c r="Q23" s="43">
        <v>57386</v>
      </c>
      <c r="R23" s="39">
        <v>32645</v>
      </c>
      <c r="S23" s="39">
        <v>134952</v>
      </c>
    </row>
    <row r="24" spans="2:27">
      <c r="B24" s="40">
        <v>44561</v>
      </c>
      <c r="C24" s="43" t="str">
        <v>2021Q4</v>
      </c>
      <c r="D24" s="43" t="str">
        <v>2021 Q4</v>
      </c>
      <c r="E24" s="43">
        <v>24016</v>
      </c>
      <c r="F24" s="43">
        <v>271201</v>
      </c>
      <c r="G24" s="43">
        <v>267749</v>
      </c>
      <c r="H24" s="43">
        <v>4013</v>
      </c>
      <c r="I24" s="43">
        <v>169670</v>
      </c>
      <c r="J24" s="43">
        <v>73790</v>
      </c>
      <c r="K24" s="43">
        <v>10872</v>
      </c>
      <c r="L24" s="43">
        <v>66188</v>
      </c>
      <c r="M24" s="43">
        <v>108109</v>
      </c>
      <c r="N24" s="43">
        <v>59117</v>
      </c>
      <c r="O24" s="43">
        <v>117658</v>
      </c>
      <c r="P24" s="43">
        <v>56631</v>
      </c>
      <c r="Q24" s="43">
        <v>61099</v>
      </c>
      <c r="R24" s="39">
        <v>33421</v>
      </c>
      <c r="S24" s="39">
        <v>165139</v>
      </c>
    </row>
    <row r="25" spans="2:27">
      <c r="B25" s="40">
        <v>44651</v>
      </c>
      <c r="C25" s="43" t="str">
        <v>2022Q1</v>
      </c>
      <c r="D25" s="43" t="str">
        <v>2022 Q1</v>
      </c>
      <c r="E25" s="43">
        <v>26322</v>
      </c>
      <c r="F25" s="43">
        <v>272147</v>
      </c>
      <c r="G25" s="43">
        <v>267209</v>
      </c>
      <c r="H25" s="43">
        <v>4788</v>
      </c>
      <c r="I25" s="43">
        <v>181483</v>
      </c>
      <c r="J25" s="43">
        <v>67608</v>
      </c>
      <c r="K25" s="43">
        <v>6738</v>
      </c>
      <c r="L25" s="43">
        <v>72122</v>
      </c>
      <c r="M25" s="43">
        <v>108808</v>
      </c>
      <c r="N25" s="43">
        <v>57830</v>
      </c>
      <c r="O25" s="43">
        <v>114763</v>
      </c>
      <c r="P25" s="43">
        <v>58597</v>
      </c>
      <c r="Q25" s="43">
        <v>56114</v>
      </c>
      <c r="R25" s="39">
        <v>36285</v>
      </c>
      <c r="S25" s="39">
        <v>160997</v>
      </c>
    </row>
    <row r="26" spans="2:27">
      <c r="B26" s="40">
        <v>44742</v>
      </c>
      <c r="C26" s="43" t="str">
        <v>2022Q2</v>
      </c>
      <c r="D26" s="43" t="str">
        <v>2022 Q2</v>
      </c>
      <c r="E26" s="43">
        <v>26937</v>
      </c>
      <c r="F26" s="43">
        <v>284996</v>
      </c>
      <c r="G26" s="43">
        <v>280413</v>
      </c>
      <c r="H26" s="43">
        <v>4441</v>
      </c>
      <c r="I26" s="43">
        <v>185672</v>
      </c>
      <c r="J26" s="43">
        <v>67487</v>
      </c>
      <c r="K26" s="43">
        <v>16344</v>
      </c>
      <c r="L26" s="43">
        <v>74637</v>
      </c>
      <c r="M26" s="43">
        <v>111150</v>
      </c>
      <c r="N26" s="43">
        <v>53613</v>
      </c>
      <c r="O26" s="43">
        <v>116436</v>
      </c>
      <c r="P26" s="43">
        <v>57828</v>
      </c>
      <c r="Q26" s="43">
        <v>58595</v>
      </c>
      <c r="R26" s="39">
        <v>35350</v>
      </c>
      <c r="S26" s="39">
        <v>139528</v>
      </c>
    </row>
    <row r="27" spans="2:27">
      <c r="B27" s="40">
        <v>44834</v>
      </c>
      <c r="C27" s="43" t="str">
        <v>2022Q3</v>
      </c>
      <c r="D27" s="43" t="str">
        <v>2022 Q3</v>
      </c>
      <c r="E27" s="43">
        <v>29479</v>
      </c>
      <c r="F27" s="43">
        <v>304732</v>
      </c>
      <c r="G27" s="43">
        <v>300128</v>
      </c>
      <c r="H27" s="43">
        <v>4459</v>
      </c>
      <c r="I27" s="43">
        <v>176218</v>
      </c>
      <c r="J27" s="43">
        <v>65173</v>
      </c>
      <c r="K27" s="43">
        <v>27411</v>
      </c>
      <c r="L27" s="43">
        <v>82441</v>
      </c>
      <c r="M27" s="43">
        <v>115746</v>
      </c>
      <c r="N27" s="43">
        <v>55415</v>
      </c>
      <c r="O27" s="43">
        <v>121846</v>
      </c>
      <c r="P27" s="43">
        <v>55870</v>
      </c>
      <c r="Q27" s="43">
        <v>66073</v>
      </c>
      <c r="R27" s="39">
        <v>35668</v>
      </c>
      <c r="S27" s="39">
        <v>141144</v>
      </c>
    </row>
    <row r="28" spans="2:27">
      <c r="B28" s="40">
        <v>44926</v>
      </c>
      <c r="C28" s="43" t="str">
        <v>2022Q4</v>
      </c>
      <c r="D28" s="43" t="str">
        <v>2022 Q4</v>
      </c>
      <c r="E28" s="43">
        <v>24663</v>
      </c>
      <c r="F28" s="43">
        <v>291393</v>
      </c>
      <c r="G28" s="43">
        <v>287134</v>
      </c>
      <c r="H28" s="43">
        <v>4124</v>
      </c>
      <c r="I28" s="43">
        <v>181331</v>
      </c>
      <c r="J28" s="43">
        <v>70335</v>
      </c>
      <c r="K28" s="43">
        <v>11138</v>
      </c>
      <c r="L28" s="43">
        <v>85489</v>
      </c>
      <c r="M28" s="43">
        <v>121323</v>
      </c>
      <c r="N28" s="43">
        <v>66232</v>
      </c>
      <c r="O28" s="43">
        <v>129150</v>
      </c>
      <c r="P28" s="43">
        <v>57928</v>
      </c>
      <c r="Q28" s="43">
        <v>71355</v>
      </c>
      <c r="R28" s="39">
        <v>37788</v>
      </c>
      <c r="S28" s="39">
        <v>173352</v>
      </c>
    </row>
    <row r="29" spans="2:27">
      <c r="B29" s="40">
        <v>45016</v>
      </c>
      <c r="C29" s="43" t="str">
        <v>2023Q1</v>
      </c>
      <c r="D29" s="43" t="str">
        <v>2023 Q1</v>
      </c>
      <c r="E29" s="43">
        <v>27418</v>
      </c>
      <c r="F29" s="43">
        <v>278334</v>
      </c>
      <c r="G29" s="43">
        <v>273288</v>
      </c>
      <c r="H29" s="43">
        <v>5082</v>
      </c>
      <c r="I29" s="43">
        <v>186332</v>
      </c>
      <c r="J29" s="43">
        <v>62483</v>
      </c>
      <c r="K29" s="43">
        <v>7297</v>
      </c>
      <c r="L29" s="43">
        <v>83286</v>
      </c>
      <c r="M29" s="43">
        <v>123923</v>
      </c>
      <c r="N29" s="43">
        <v>63424</v>
      </c>
      <c r="O29" s="43">
        <v>121137</v>
      </c>
      <c r="P29" s="43">
        <v>60420</v>
      </c>
      <c r="Q29" s="43">
        <v>60822</v>
      </c>
      <c r="R29" s="39">
        <v>42150</v>
      </c>
      <c r="S29" s="39">
        <v>164264</v>
      </c>
    </row>
    <row r="30" spans="2:27">
      <c r="B30" s="40">
        <v>45107</v>
      </c>
      <c r="C30" s="43" t="str">
        <v>2023Q2</v>
      </c>
      <c r="D30" s="43" t="str">
        <v>2023 Q2</v>
      </c>
      <c r="E30" s="43">
        <v>27771</v>
      </c>
      <c r="F30" s="43">
        <v>274028</v>
      </c>
      <c r="G30" s="43">
        <v>269291</v>
      </c>
      <c r="H30" s="43">
        <v>4707</v>
      </c>
      <c r="I30" s="43">
        <v>193360</v>
      </c>
      <c r="J30" s="43">
        <v>66014</v>
      </c>
      <c r="K30" s="43">
        <v>16955</v>
      </c>
      <c r="L30" s="43">
        <v>79495</v>
      </c>
      <c r="M30" s="43">
        <v>122334</v>
      </c>
      <c r="N30" s="43">
        <v>58267</v>
      </c>
      <c r="O30" s="43">
        <v>121725</v>
      </c>
      <c r="P30" s="43">
        <v>59268</v>
      </c>
      <c r="Q30" s="43">
        <v>62526</v>
      </c>
      <c r="R30" s="39">
        <v>40168</v>
      </c>
      <c r="S30" s="39">
        <v>138876</v>
      </c>
    </row>
    <row r="31" spans="2:27">
      <c r="B31" s="40">
        <v>45199</v>
      </c>
      <c r="C31" s="43" t="str">
        <v>2023Q3</v>
      </c>
      <c r="D31" s="43" t="str">
        <v>2023 Q3</v>
      </c>
      <c r="E31" s="43">
        <v>29989</v>
      </c>
      <c r="F31" s="43">
        <v>249901</v>
      </c>
      <c r="G31" s="43">
        <v>245412</v>
      </c>
      <c r="H31" s="43">
        <v>4510</v>
      </c>
      <c r="I31" s="43">
        <v>175385</v>
      </c>
      <c r="J31" s="43">
        <v>63572</v>
      </c>
      <c r="K31" s="43">
        <v>28077</v>
      </c>
      <c r="L31" s="43">
        <v>86301</v>
      </c>
      <c r="M31" s="43">
        <v>123528</v>
      </c>
      <c r="N31" s="43">
        <v>59255</v>
      </c>
      <c r="O31" s="43">
        <v>130109</v>
      </c>
      <c r="P31" s="43">
        <v>57076</v>
      </c>
      <c r="Q31" s="43">
        <v>72954</v>
      </c>
      <c r="R31" s="39">
        <v>39440</v>
      </c>
      <c r="S31" s="39">
        <v>142784</v>
      </c>
    </row>
    <row r="32" spans="2:27">
      <c r="B32" s="40">
        <v>45291</v>
      </c>
      <c r="C32" s="43" t="str">
        <v>2023Q4</v>
      </c>
      <c r="D32" s="43" t="str">
        <v>2023 Q4</v>
      </c>
      <c r="E32" s="43">
        <v>27130</v>
      </c>
      <c r="F32" s="43">
        <v>244863</v>
      </c>
      <c r="G32" s="43">
        <v>240635</v>
      </c>
      <c r="H32" s="43">
        <v>4201</v>
      </c>
      <c r="I32" s="43">
        <v>171123</v>
      </c>
      <c r="J32" s="43">
        <v>58639</v>
      </c>
      <c r="K32" s="43">
        <v>11486</v>
      </c>
      <c r="L32" s="43">
        <v>89192</v>
      </c>
      <c r="M32" s="43">
        <v>131830</v>
      </c>
      <c r="N32" s="43">
        <v>69288</v>
      </c>
      <c r="O32" s="43">
        <v>135638</v>
      </c>
      <c r="P32" s="43">
        <v>58967</v>
      </c>
      <c r="Q32" s="43">
        <v>76575</v>
      </c>
      <c r="R32" s="39">
        <v>41177</v>
      </c>
      <c r="S32" s="39">
        <v>175848</v>
      </c>
    </row>
    <row r="33" spans="2:19">
      <c r="B33" s="40">
        <v>45382</v>
      </c>
      <c r="C33" s="43" t="str">
        <v>2024Q1</v>
      </c>
      <c r="D33" s="43" t="str">
        <v>2024 Q1</v>
      </c>
      <c r="E33" s="43">
        <v>29044</v>
      </c>
      <c r="F33" s="43">
        <v>242861</v>
      </c>
      <c r="G33" s="43">
        <v>237303</v>
      </c>
      <c r="H33" s="43">
        <v>5557</v>
      </c>
      <c r="I33" s="43">
        <v>193656</v>
      </c>
      <c r="J33" s="43">
        <v>61734</v>
      </c>
      <c r="K33" s="43">
        <v>7741</v>
      </c>
      <c r="L33" s="43">
        <v>85653</v>
      </c>
      <c r="M33" s="43">
        <v>133198</v>
      </c>
      <c r="N33" s="43">
        <v>66280</v>
      </c>
      <c r="O33" s="43">
        <v>130233</v>
      </c>
      <c r="P33" s="43">
        <v>62323</v>
      </c>
      <c r="Q33" s="43">
        <v>67910</v>
      </c>
      <c r="R33" s="39">
        <v>46123</v>
      </c>
      <c r="S33" s="39">
        <v>168528</v>
      </c>
    </row>
    <row r="34" spans="2:19">
      <c r="B34" s="40">
        <v>45473</v>
      </c>
      <c r="C34" s="43" t="str">
        <v>2024Q2</v>
      </c>
      <c r="D34" s="43" t="str">
        <v>2024 Q2</v>
      </c>
      <c r="E34" s="43">
        <v>29410</v>
      </c>
      <c r="F34" s="43">
        <v>242780</v>
      </c>
      <c r="G34" s="43">
        <v>237728</v>
      </c>
      <c r="H34" s="43">
        <v>5053</v>
      </c>
      <c r="I34" s="43">
        <v>201056</v>
      </c>
      <c r="J34" s="43">
        <v>67912</v>
      </c>
      <c r="K34" s="43">
        <v>18707</v>
      </c>
      <c r="L34" s="43">
        <v>83611</v>
      </c>
      <c r="M34" s="43">
        <v>132286</v>
      </c>
      <c r="N34" s="43">
        <v>60883</v>
      </c>
      <c r="O34" s="43">
        <v>132206</v>
      </c>
      <c r="P34" s="43">
        <v>61565</v>
      </c>
      <c r="Q34" s="43">
        <v>70641</v>
      </c>
      <c r="R34" s="39">
        <v>41764</v>
      </c>
      <c r="S34" s="39">
        <v>145185</v>
      </c>
    </row>
    <row r="35" spans="2:19">
      <c r="B35" s="40">
        <v>45565</v>
      </c>
      <c r="C35" s="43" t="str">
        <v>2024Q3</v>
      </c>
      <c r="D35" s="43" t="str">
        <v>2024 Q3</v>
      </c>
      <c r="E35" s="43">
        <v>31598</v>
      </c>
      <c r="F35" s="43">
        <v>250222</v>
      </c>
      <c r="G35" s="43">
        <v>245430</v>
      </c>
      <c r="H35" s="43">
        <v>4792</v>
      </c>
      <c r="I35" s="43">
        <v>181005</v>
      </c>
      <c r="J35" s="43">
        <v>63083</v>
      </c>
      <c r="K35" s="43">
        <v>29115</v>
      </c>
      <c r="L35" s="43">
        <v>91189</v>
      </c>
      <c r="M35" s="43">
        <v>129962</v>
      </c>
      <c r="N35" s="43">
        <v>61683</v>
      </c>
      <c r="O35" s="43">
        <v>139094</v>
      </c>
      <c r="P35" s="43">
        <v>58642</v>
      </c>
      <c r="Q35" s="43">
        <v>80451</v>
      </c>
      <c r="R35" s="39">
        <v>41350</v>
      </c>
      <c r="S35" s="39">
        <v>148589</v>
      </c>
    </row>
    <row r="36" spans="2:19">
      <c r="B36" s="40">
        <v>45657</v>
      </c>
      <c r="C36" s="43" t="str">
        <v>2024Q4</v>
      </c>
      <c r="D36" s="43" t="str">
        <v>2024 Q4</v>
      </c>
      <c r="E36" s="43">
        <v>27936</v>
      </c>
      <c r="F36" s="43">
        <v>246777</v>
      </c>
      <c r="G36" s="43">
        <v>242150</v>
      </c>
      <c r="H36" s="43">
        <v>4627</v>
      </c>
      <c r="I36" s="43">
        <v>186741</v>
      </c>
      <c r="J36" s="43">
        <v>67614</v>
      </c>
      <c r="K36" s="43">
        <v>12495</v>
      </c>
      <c r="L36" s="43">
        <v>94830</v>
      </c>
      <c r="M36" s="43">
        <v>140402</v>
      </c>
      <c r="N36" s="43">
        <v>72207</v>
      </c>
      <c r="O36" s="43">
        <v>143331</v>
      </c>
      <c r="P36" s="43">
        <v>60639</v>
      </c>
      <c r="Q36" s="43">
        <v>82692</v>
      </c>
      <c r="R36" s="39">
        <v>43322</v>
      </c>
      <c r="S36" s="39">
        <v>180185</v>
      </c>
    </row>
    <row r="37" spans="2:19">
      <c r="B37" s="40">
        <v>45747</v>
      </c>
      <c r="C37" s="43" t="str">
        <v>2025Q1</v>
      </c>
      <c r="D37" s="43" t="str">
        <v>2025 Q1</v>
      </c>
      <c r="E37" s="43">
        <v>30014</v>
      </c>
      <c r="F37" s="43">
        <v>239397</v>
      </c>
      <c r="G37" s="43">
        <v>233689</v>
      </c>
      <c r="H37" s="43">
        <v>5664</v>
      </c>
      <c r="I37" s="43">
        <v>202640</v>
      </c>
      <c r="J37" s="43">
        <v>64058</v>
      </c>
      <c r="K37" s="43">
        <v>7892</v>
      </c>
      <c r="L37" s="43">
        <v>89217</v>
      </c>
      <c r="M37" s="43">
        <v>143536</v>
      </c>
      <c r="N37" s="43">
        <v>70380</v>
      </c>
      <c r="O37" s="43">
        <v>138297</v>
      </c>
      <c r="P37" s="43">
        <v>64856</v>
      </c>
      <c r="Q37" s="43">
        <v>73230</v>
      </c>
      <c r="R37" s="39">
        <v>48332</v>
      </c>
      <c r="S37" s="39">
        <v>173860</v>
      </c>
    </row>
    <row r="38" spans="2:19">
      <c r="B38" s="40">
        <v>45838</v>
      </c>
      <c r="C38" s="43" t="str">
        <v>2025Q2</v>
      </c>
      <c r="D38" s="43" t="str">
        <v>2025 Q2</v>
      </c>
      <c r="E38" s="43">
        <v>30729</v>
      </c>
      <c r="F38" s="43">
        <v>252871</v>
      </c>
      <c r="G38" s="43">
        <v>247711</v>
      </c>
      <c r="H38" s="43">
        <v>5160</v>
      </c>
      <c r="I38" s="43">
        <v>209286</v>
      </c>
      <c r="J38" s="43">
        <v>69731</v>
      </c>
      <c r="K38" s="43">
        <v>20634</v>
      </c>
      <c r="L38" s="43">
        <v>88102</v>
      </c>
      <c r="M38" s="43">
        <v>140881</v>
      </c>
      <c r="N38" s="43">
        <v>63235</v>
      </c>
      <c r="O38" s="43">
        <v>140772</v>
      </c>
      <c r="P38" s="43">
        <v>63844</v>
      </c>
      <c r="Q38" s="43">
        <v>76860</v>
      </c>
      <c r="R38" s="39">
        <v>43757</v>
      </c>
      <c r="S38" s="39">
        <v>145865</v>
      </c>
    </row>
    <row r="39" spans="2:19">
      <c r="B39" s="40">
        <v>45930</v>
      </c>
      <c r="C39" s="43" t="str">
        <v>2025Q3</v>
      </c>
      <c r="D39" s="43" t="str">
        <v>2025 Q3</v>
      </c>
      <c r="E39" s="43">
        <v>31851</v>
      </c>
      <c r="F39" s="43">
        <v>268336</v>
      </c>
      <c r="G39" s="43">
        <v>263401</v>
      </c>
      <c r="H39" s="43">
        <v>4963</v>
      </c>
      <c r="I39" s="43">
        <v>193740</v>
      </c>
      <c r="J39" s="43">
        <v>70613</v>
      </c>
      <c r="K39" s="43">
        <v>30980</v>
      </c>
      <c r="L39" s="43">
        <v>93768</v>
      </c>
      <c r="M39" s="43">
        <v>136675</v>
      </c>
      <c r="N39" s="43">
        <v>63680</v>
      </c>
      <c r="O39" s="43">
        <v>144685</v>
      </c>
      <c r="P39" s="43">
        <v>61186</v>
      </c>
      <c r="Q39" s="43">
        <v>83727</v>
      </c>
      <c r="R39" s="39">
        <v>43381</v>
      </c>
      <c r="S39" s="39">
        <v>150604</v>
      </c>
    </row>
    <row r="40" spans="2:19">
      <c r="B40" s="40">
        <v>46022</v>
      </c>
      <c r="C40" s="43" t="str">
        <v>2025Q4</v>
      </c>
      <c r="D40" s="43" t="str">
        <v>2025 Q4</v>
      </c>
      <c r="E40" s="43">
        <v>28965</v>
      </c>
      <c r="F40" s="43">
        <v>276952</v>
      </c>
      <c r="G40" s="43">
        <v>272237</v>
      </c>
      <c r="H40" s="43">
        <v>4764</v>
      </c>
      <c r="I40" s="43">
        <v>195753</v>
      </c>
      <c r="J40" s="43">
        <v>71000</v>
      </c>
      <c r="K40" s="43">
        <v>12607</v>
      </c>
      <c r="L40" s="43">
        <v>98592</v>
      </c>
      <c r="M40" s="43">
        <v>147972</v>
      </c>
      <c r="N40" s="43">
        <v>74572</v>
      </c>
      <c r="O40" s="43">
        <v>148960</v>
      </c>
      <c r="P40" s="43">
        <v>62800</v>
      </c>
      <c r="Q40" s="43">
        <v>86408</v>
      </c>
      <c r="R40" s="39">
        <v>45166</v>
      </c>
      <c r="S40" s="39">
        <v>178064</v>
      </c>
    </row>
    <row r="50" spans="2:27">
      <c r="B50" s="41" t="s">
        <v>54</v>
      </c>
    </row>
    <row r="51" spans="2:27" ht="32.4">
      <c r="B51" s="39" t="str" cm="1">
        <f t="array" ref="B51:I87">GDP_By_Main_Economic_Activity[#All]</f>
        <v>Date</v>
      </c>
      <c r="C51" s="43" t="str">
        <v>Quarter</v>
      </c>
      <c r="D51" s="43" t="str">
        <v>Oil Activities</v>
      </c>
      <c r="E51" s="43" t="str">
        <v>Non-Oil Activities</v>
      </c>
      <c r="F51" s="43" t="str">
        <v>Government Activities</v>
      </c>
      <c r="G51" s="43" t="str">
        <v xml:space="preserve">Gross Value Added </v>
      </c>
      <c r="H51" s="43" t="str">
        <v xml:space="preserve"> Net Taxes on Products</v>
      </c>
      <c r="I51" s="43" t="str">
        <v>Gross Domestic Product</v>
      </c>
      <c r="L51" s="43" t="s">
        <v>1</v>
      </c>
      <c r="M51" s="43" t="s">
        <v>2</v>
      </c>
      <c r="U51" s="70" t="s">
        <v>156</v>
      </c>
      <c r="V51" s="70"/>
      <c r="Z51" s="70" t="s">
        <v>157</v>
      </c>
      <c r="AA51" s="70"/>
    </row>
    <row r="52" spans="2:27">
      <c r="B52" s="40">
        <v>42825</v>
      </c>
      <c r="C52" s="43" t="str">
        <v>2017Q1</v>
      </c>
      <c r="D52" s="43">
        <v>323387</v>
      </c>
      <c r="E52" s="43">
        <v>427664</v>
      </c>
      <c r="F52" s="43">
        <v>141861</v>
      </c>
      <c r="G52" s="43">
        <v>889235</v>
      </c>
      <c r="H52" s="43">
        <v>41728</v>
      </c>
      <c r="I52" s="43">
        <v>932702</v>
      </c>
      <c r="L52" s="43">
        <f>_xlfn.XLOOKUP(Dashboard!$A$1,Data!$C$52:$C$87,Data!$D$52:$D$87)</f>
        <v>284060</v>
      </c>
      <c r="M52" s="43">
        <f>_xlfn.XLOOKUP(Dashboard!$A$1,Data!$C$52:$C$87,Data!$E$52:$E$87)</f>
        <v>490817</v>
      </c>
      <c r="U52" s="65" t="s">
        <v>1</v>
      </c>
      <c r="V52" s="43">
        <f>_xlfn.XLOOKUP(Dashboard!$A$1,Data!$C$52:$C$87,Data!$D$52:$D$87)</f>
        <v>284060</v>
      </c>
      <c r="Z52" s="61" t="str" cm="1">
        <f t="array" ref="Z52:Z57">_xlfn.SORTBY($U$52:$U$57,$V$52:$V$57,-1)</f>
        <v>GDP</v>
      </c>
      <c r="AA52" s="43" cm="1">
        <f t="array" ref="AA52:AA57">_xlfn.XLOOKUP(_xlfn.ANCHORARRAY($Z$52),$U$52:$U$57,$V$52:$V$57)</f>
        <v>965383</v>
      </c>
    </row>
    <row r="53" spans="2:27">
      <c r="B53" s="40">
        <v>42916</v>
      </c>
      <c r="C53" s="43" t="str">
        <v>2017Q2</v>
      </c>
      <c r="D53" s="43">
        <v>327933</v>
      </c>
      <c r="E53" s="43">
        <v>429552</v>
      </c>
      <c r="F53" s="43">
        <v>129052</v>
      </c>
      <c r="G53" s="43">
        <v>878557</v>
      </c>
      <c r="H53" s="43">
        <v>46796</v>
      </c>
      <c r="I53" s="43">
        <v>922635</v>
      </c>
      <c r="U53" s="65" t="s">
        <v>2</v>
      </c>
      <c r="V53" s="43">
        <f>_xlfn.XLOOKUP(Dashboard!$A$1,Data!$C$52:$C$87,Data!$E$52:$E$87)</f>
        <v>490817</v>
      </c>
      <c r="Z53" s="61" t="str">
        <v>GVA</v>
      </c>
      <c r="AA53" s="43">
        <v>918391</v>
      </c>
    </row>
    <row r="54" spans="2:27">
      <c r="B54" s="40">
        <v>43008</v>
      </c>
      <c r="C54" s="43" t="str">
        <v>2017Q3</v>
      </c>
      <c r="D54" s="43">
        <v>332904</v>
      </c>
      <c r="E54" s="43">
        <v>443768</v>
      </c>
      <c r="F54" s="43">
        <v>122371</v>
      </c>
      <c r="G54" s="43">
        <v>890649</v>
      </c>
      <c r="H54" s="43">
        <v>39464</v>
      </c>
      <c r="I54" s="43">
        <v>933711</v>
      </c>
      <c r="U54" s="65" t="s">
        <v>3</v>
      </c>
      <c r="V54" s="43">
        <f>_xlfn.XLOOKUP(Dashboard!$A$1,Data!$C$52:$C$87,Data!$F$52:$F$87)</f>
        <v>133593</v>
      </c>
      <c r="Z54" s="61" t="str">
        <v>Non-Oil Activities</v>
      </c>
      <c r="AA54" s="43">
        <v>490817</v>
      </c>
    </row>
    <row r="55" spans="2:27">
      <c r="B55" s="40">
        <v>43100</v>
      </c>
      <c r="C55" s="43" t="str">
        <v>2017Q4</v>
      </c>
      <c r="D55" s="43">
        <v>329685</v>
      </c>
      <c r="E55" s="43">
        <v>447054</v>
      </c>
      <c r="F55" s="43">
        <v>160031</v>
      </c>
      <c r="G55" s="43">
        <v>938914</v>
      </c>
      <c r="H55" s="43">
        <v>45812</v>
      </c>
      <c r="I55" s="43">
        <v>985165</v>
      </c>
      <c r="U55" s="65" t="s">
        <v>153</v>
      </c>
      <c r="V55" s="43">
        <f>_xlfn.XLOOKUP(Dashboard!$A$1,Data!$C$52:$C$87,Data!$G$52:$G$87)</f>
        <v>918391</v>
      </c>
      <c r="Z55" s="61" t="str">
        <v>Oil Activities</v>
      </c>
      <c r="AA55" s="43">
        <v>284060</v>
      </c>
    </row>
    <row r="56" spans="2:27">
      <c r="B56" s="40">
        <v>43190</v>
      </c>
      <c r="C56" s="43" t="str">
        <v>2018Q1</v>
      </c>
      <c r="D56" s="43">
        <v>324708</v>
      </c>
      <c r="E56" s="43">
        <v>441322</v>
      </c>
      <c r="F56" s="43">
        <v>148584</v>
      </c>
      <c r="G56" s="43">
        <v>913445</v>
      </c>
      <c r="H56" s="43">
        <v>42822</v>
      </c>
      <c r="I56" s="43">
        <v>958113</v>
      </c>
      <c r="U56" s="65" t="s">
        <v>154</v>
      </c>
      <c r="V56" s="43">
        <f>_xlfn.XLOOKUP(Dashboard!$A$1,Data!$C$52:$C$87,Data!$H$52:$H$87)</f>
        <v>47040</v>
      </c>
      <c r="Z56" s="61" t="str">
        <v>Government Activities</v>
      </c>
      <c r="AA56" s="43">
        <v>133593</v>
      </c>
    </row>
    <row r="57" spans="2:27">
      <c r="B57" s="40">
        <v>43281</v>
      </c>
      <c r="C57" s="43" t="str">
        <v>2018Q2</v>
      </c>
      <c r="D57" s="43">
        <v>331130</v>
      </c>
      <c r="E57" s="43">
        <v>446211</v>
      </c>
      <c r="F57" s="43">
        <v>139218</v>
      </c>
      <c r="G57" s="43">
        <v>912852</v>
      </c>
      <c r="H57" s="43">
        <v>46922</v>
      </c>
      <c r="I57" s="43">
        <v>958245</v>
      </c>
      <c r="U57" s="65" t="s">
        <v>155</v>
      </c>
      <c r="V57" s="43">
        <f>_xlfn.XLOOKUP(Dashboard!$A$1,Data!$C$52:$C$87,Data!$I$52:$I$87)</f>
        <v>965383</v>
      </c>
      <c r="Z57" s="61" t="str">
        <v>Net Taxes of Products</v>
      </c>
      <c r="AA57" s="43">
        <v>47040</v>
      </c>
    </row>
    <row r="58" spans="2:27">
      <c r="B58" s="40">
        <v>43373</v>
      </c>
      <c r="C58" s="43" t="str">
        <v>2018Q3</v>
      </c>
      <c r="D58" s="43">
        <v>344068</v>
      </c>
      <c r="E58" s="43">
        <v>458359</v>
      </c>
      <c r="F58" s="43">
        <v>123729</v>
      </c>
      <c r="G58" s="43">
        <v>918207</v>
      </c>
      <c r="H58" s="43">
        <v>40861</v>
      </c>
      <c r="I58" s="43">
        <v>962710</v>
      </c>
    </row>
    <row r="59" spans="2:27">
      <c r="B59" s="40">
        <v>43465</v>
      </c>
      <c r="C59" s="43" t="str">
        <v>2018Q4</v>
      </c>
      <c r="D59" s="43">
        <v>351618</v>
      </c>
      <c r="E59" s="43">
        <v>458356</v>
      </c>
      <c r="F59" s="43">
        <v>163205</v>
      </c>
      <c r="G59" s="43">
        <v>969385</v>
      </c>
      <c r="H59" s="43">
        <v>46254</v>
      </c>
      <c r="I59" s="43">
        <v>1016937</v>
      </c>
    </row>
    <row r="60" spans="2:27">
      <c r="B60" s="40">
        <v>43555</v>
      </c>
      <c r="C60" s="43" t="str">
        <v>2019Q1</v>
      </c>
      <c r="D60" s="43">
        <v>327142</v>
      </c>
      <c r="E60" s="43">
        <v>461734</v>
      </c>
      <c r="F60" s="43">
        <v>150640</v>
      </c>
      <c r="G60" s="43">
        <v>937130</v>
      </c>
      <c r="H60" s="43">
        <v>48676</v>
      </c>
      <c r="I60" s="43">
        <v>985357</v>
      </c>
    </row>
    <row r="61" spans="2:27">
      <c r="B61" s="40">
        <v>43646</v>
      </c>
      <c r="C61" s="43" t="str">
        <v>2019Q2</v>
      </c>
      <c r="D61" s="43">
        <v>320037</v>
      </c>
      <c r="E61" s="43">
        <v>467902</v>
      </c>
      <c r="F61" s="43">
        <v>140746</v>
      </c>
      <c r="G61" s="43">
        <v>925793</v>
      </c>
      <c r="H61" s="43">
        <v>49877</v>
      </c>
      <c r="I61" s="43">
        <v>974442</v>
      </c>
    </row>
    <row r="62" spans="2:27">
      <c r="B62" s="40">
        <v>43738</v>
      </c>
      <c r="C62" s="43" t="str">
        <v>2019Q3</v>
      </c>
      <c r="D62" s="43">
        <v>320876</v>
      </c>
      <c r="E62" s="43">
        <v>481536</v>
      </c>
      <c r="F62" s="43">
        <v>129495</v>
      </c>
      <c r="G62" s="43">
        <v>927830</v>
      </c>
      <c r="H62" s="43">
        <v>49855</v>
      </c>
      <c r="I62" s="43">
        <v>976512</v>
      </c>
    </row>
    <row r="63" spans="2:27">
      <c r="B63" s="40">
        <v>43830</v>
      </c>
      <c r="C63" s="43" t="str">
        <v>2019Q4</v>
      </c>
      <c r="D63" s="43">
        <v>330154</v>
      </c>
      <c r="E63" s="43">
        <v>480815</v>
      </c>
      <c r="F63" s="43">
        <v>163790</v>
      </c>
      <c r="G63" s="43">
        <v>973887</v>
      </c>
      <c r="H63" s="43">
        <v>50645</v>
      </c>
      <c r="I63" s="43">
        <v>1024040</v>
      </c>
    </row>
    <row r="64" spans="2:27">
      <c r="B64" s="40">
        <v>43921</v>
      </c>
      <c r="C64" s="43" t="str">
        <v>2020Q1</v>
      </c>
      <c r="D64" s="43">
        <v>309888</v>
      </c>
      <c r="E64" s="43">
        <v>462782</v>
      </c>
      <c r="F64" s="43">
        <v>151274</v>
      </c>
      <c r="G64" s="43">
        <v>923962</v>
      </c>
      <c r="H64" s="43">
        <v>49058</v>
      </c>
      <c r="I64" s="43">
        <v>972107</v>
      </c>
    </row>
    <row r="65" spans="2:9">
      <c r="B65" s="40">
        <v>44012</v>
      </c>
      <c r="C65" s="43" t="str">
        <v>2020Q2</v>
      </c>
      <c r="D65" s="43">
        <v>302324</v>
      </c>
      <c r="E65" s="43">
        <v>423274</v>
      </c>
      <c r="F65" s="43">
        <v>137925</v>
      </c>
      <c r="G65" s="43">
        <v>860487</v>
      </c>
      <c r="H65" s="43">
        <v>41706</v>
      </c>
      <c r="I65" s="43">
        <v>903140</v>
      </c>
    </row>
    <row r="66" spans="2:9">
      <c r="B66" s="40">
        <v>44104</v>
      </c>
      <c r="C66" s="43" t="str">
        <v>2020Q3</v>
      </c>
      <c r="D66" s="43">
        <v>293491</v>
      </c>
      <c r="E66" s="43">
        <v>471268</v>
      </c>
      <c r="F66" s="43">
        <v>130398</v>
      </c>
      <c r="G66" s="43">
        <v>894908</v>
      </c>
      <c r="H66" s="43">
        <v>45619</v>
      </c>
      <c r="I66" s="43">
        <v>940499</v>
      </c>
    </row>
    <row r="67" spans="2:9">
      <c r="B67" s="40">
        <v>44196</v>
      </c>
      <c r="C67" s="43" t="str">
        <v>2020Q4</v>
      </c>
      <c r="D67" s="43">
        <v>303070</v>
      </c>
      <c r="E67" s="43">
        <v>477549</v>
      </c>
      <c r="F67" s="43">
        <v>161578</v>
      </c>
      <c r="G67" s="43">
        <v>945723</v>
      </c>
      <c r="H67" s="43">
        <v>48245</v>
      </c>
      <c r="I67" s="43">
        <v>993922</v>
      </c>
    </row>
    <row r="68" spans="2:9">
      <c r="B68" s="40">
        <v>44286</v>
      </c>
      <c r="C68" s="43" t="str">
        <v>2021Q1</v>
      </c>
      <c r="D68" s="43">
        <v>277957</v>
      </c>
      <c r="E68" s="43">
        <v>490415</v>
      </c>
      <c r="F68" s="43">
        <v>154050</v>
      </c>
      <c r="G68" s="43">
        <v>941024</v>
      </c>
      <c r="H68" s="43">
        <v>47756</v>
      </c>
      <c r="I68" s="43">
        <v>988793</v>
      </c>
    </row>
    <row r="69" spans="2:9">
      <c r="B69" s="40">
        <v>44377</v>
      </c>
      <c r="C69" s="43" t="str">
        <v>2021Q2</v>
      </c>
      <c r="D69" s="43">
        <v>284060</v>
      </c>
      <c r="E69" s="43">
        <v>490817</v>
      </c>
      <c r="F69" s="43">
        <v>133593</v>
      </c>
      <c r="G69" s="43">
        <v>918391</v>
      </c>
      <c r="H69" s="43">
        <v>47040</v>
      </c>
      <c r="I69" s="43">
        <v>965383</v>
      </c>
    </row>
    <row r="70" spans="2:9">
      <c r="B70" s="40">
        <v>44469</v>
      </c>
      <c r="C70" s="43" t="str">
        <v>2021Q3</v>
      </c>
      <c r="D70" s="43">
        <v>322329</v>
      </c>
      <c r="E70" s="43">
        <v>516084</v>
      </c>
      <c r="F70" s="43">
        <v>134952</v>
      </c>
      <c r="G70" s="43">
        <v>972209</v>
      </c>
      <c r="H70" s="43">
        <v>48339</v>
      </c>
      <c r="I70" s="43">
        <v>1020704</v>
      </c>
    </row>
    <row r="71" spans="2:9">
      <c r="B71" s="40">
        <v>44561</v>
      </c>
      <c r="C71" s="43" t="str">
        <v>2021Q4</v>
      </c>
      <c r="D71" s="43">
        <v>339208</v>
      </c>
      <c r="E71" s="43">
        <v>525212</v>
      </c>
      <c r="F71" s="43">
        <v>165139</v>
      </c>
      <c r="G71" s="43">
        <v>1032113</v>
      </c>
      <c r="H71" s="43">
        <v>50812</v>
      </c>
      <c r="I71" s="43">
        <v>1083163</v>
      </c>
    </row>
    <row r="72" spans="2:9">
      <c r="B72" s="40">
        <v>44651</v>
      </c>
      <c r="C72" s="43" t="str">
        <v>2022Q1</v>
      </c>
      <c r="D72" s="43">
        <v>333944</v>
      </c>
      <c r="E72" s="43">
        <v>540992</v>
      </c>
      <c r="F72" s="43">
        <v>160997</v>
      </c>
      <c r="G72" s="43">
        <v>1043890</v>
      </c>
      <c r="H72" s="43">
        <v>54779</v>
      </c>
      <c r="I72" s="43">
        <v>1099270</v>
      </c>
    </row>
    <row r="73" spans="2:9">
      <c r="B73" s="40">
        <v>44742</v>
      </c>
      <c r="C73" s="43" t="str">
        <v>2022Q2</v>
      </c>
      <c r="D73" s="43">
        <v>347996</v>
      </c>
      <c r="E73" s="43">
        <v>556594</v>
      </c>
      <c r="F73" s="43">
        <v>139528</v>
      </c>
      <c r="G73" s="43">
        <v>1049616</v>
      </c>
      <c r="H73" s="43">
        <v>55090</v>
      </c>
      <c r="I73" s="43">
        <v>1105314</v>
      </c>
    </row>
    <row r="74" spans="2:9">
      <c r="B74" s="40">
        <v>44834</v>
      </c>
      <c r="C74" s="43" t="str">
        <v>2022Q3</v>
      </c>
      <c r="D74" s="43">
        <v>367470</v>
      </c>
      <c r="E74" s="43">
        <v>584079</v>
      </c>
      <c r="F74" s="43">
        <v>141144</v>
      </c>
      <c r="G74" s="43">
        <v>1097837</v>
      </c>
      <c r="H74" s="43">
        <v>55264</v>
      </c>
      <c r="I74" s="43">
        <v>1153237</v>
      </c>
    </row>
    <row r="75" spans="2:9">
      <c r="B75" s="40">
        <v>44926</v>
      </c>
      <c r="C75" s="43" t="str">
        <v>2022Q4</v>
      </c>
      <c r="D75" s="43">
        <v>357207</v>
      </c>
      <c r="E75" s="43">
        <v>591823</v>
      </c>
      <c r="F75" s="43">
        <v>173352</v>
      </c>
      <c r="G75" s="43">
        <v>1131314</v>
      </c>
      <c r="H75" s="43">
        <v>55966</v>
      </c>
      <c r="I75" s="43">
        <v>1187211</v>
      </c>
    </row>
    <row r="76" spans="2:9">
      <c r="B76" s="40">
        <v>45016</v>
      </c>
      <c r="C76" s="43" t="str">
        <v>2023Q1</v>
      </c>
      <c r="D76" s="43">
        <v>336549</v>
      </c>
      <c r="E76" s="43">
        <v>597497</v>
      </c>
      <c r="F76" s="43">
        <v>164264</v>
      </c>
      <c r="G76" s="43">
        <v>1100849</v>
      </c>
      <c r="H76" s="43">
        <v>58986</v>
      </c>
      <c r="I76" s="43">
        <v>1159934</v>
      </c>
    </row>
    <row r="77" spans="2:9">
      <c r="B77" s="40">
        <v>45107</v>
      </c>
      <c r="C77" s="43" t="str">
        <v>2023Q2</v>
      </c>
      <c r="D77" s="43">
        <v>335233</v>
      </c>
      <c r="E77" s="43">
        <v>599052</v>
      </c>
      <c r="F77" s="43">
        <v>138876</v>
      </c>
      <c r="G77" s="43">
        <v>1076593</v>
      </c>
      <c r="H77" s="43">
        <v>58306</v>
      </c>
      <c r="I77" s="43">
        <v>1134944</v>
      </c>
    </row>
    <row r="78" spans="2:9">
      <c r="B78" s="40">
        <v>45199</v>
      </c>
      <c r="C78" s="43" t="str">
        <v>2023Q3</v>
      </c>
      <c r="D78" s="43">
        <v>308276</v>
      </c>
      <c r="E78" s="43">
        <v>613230</v>
      </c>
      <c r="F78" s="43">
        <v>142784</v>
      </c>
      <c r="G78" s="43">
        <v>1062954</v>
      </c>
      <c r="H78" s="43">
        <v>60008</v>
      </c>
      <c r="I78" s="43">
        <v>1122801</v>
      </c>
    </row>
    <row r="79" spans="2:9">
      <c r="B79" s="40">
        <v>45291</v>
      </c>
      <c r="C79" s="43" t="str">
        <v>2023Q4</v>
      </c>
      <c r="D79" s="43">
        <v>299276</v>
      </c>
      <c r="E79" s="43">
        <v>622004</v>
      </c>
      <c r="F79" s="43">
        <v>175848</v>
      </c>
      <c r="G79" s="43">
        <v>1092493</v>
      </c>
      <c r="H79" s="43">
        <v>59505</v>
      </c>
      <c r="I79" s="43">
        <v>1152014</v>
      </c>
    </row>
    <row r="80" spans="2:9">
      <c r="B80" s="40">
        <v>45382</v>
      </c>
      <c r="C80" s="43" t="str">
        <v>2024Q1</v>
      </c>
      <c r="D80" s="43">
        <v>299037</v>
      </c>
      <c r="E80" s="43">
        <v>635751</v>
      </c>
      <c r="F80" s="43">
        <v>168528</v>
      </c>
      <c r="G80" s="43">
        <v>1103316</v>
      </c>
      <c r="H80" s="43">
        <v>60874</v>
      </c>
      <c r="I80" s="43">
        <v>1164190</v>
      </c>
    </row>
    <row r="81" spans="2:12">
      <c r="B81" s="40">
        <v>45473</v>
      </c>
      <c r="C81" s="43" t="str">
        <v>2024Q2</v>
      </c>
      <c r="D81" s="43">
        <v>305639</v>
      </c>
      <c r="E81" s="43">
        <v>637063</v>
      </c>
      <c r="F81" s="43">
        <v>145185</v>
      </c>
      <c r="G81" s="43">
        <v>1087887</v>
      </c>
      <c r="H81" s="43">
        <v>60437</v>
      </c>
      <c r="I81" s="43">
        <v>1148324</v>
      </c>
    </row>
    <row r="82" spans="2:12">
      <c r="B82" s="40">
        <v>45565</v>
      </c>
      <c r="C82" s="43" t="str">
        <v>2024Q3</v>
      </c>
      <c r="D82" s="43">
        <v>308513</v>
      </c>
      <c r="E82" s="43">
        <v>646706</v>
      </c>
      <c r="F82" s="43">
        <v>148589</v>
      </c>
      <c r="G82" s="43">
        <v>1103807</v>
      </c>
      <c r="H82" s="43">
        <v>62843</v>
      </c>
      <c r="I82" s="43">
        <v>1166650</v>
      </c>
    </row>
    <row r="83" spans="2:12">
      <c r="B83" s="40">
        <v>45657</v>
      </c>
      <c r="C83" s="43" t="str">
        <v>2024Q4</v>
      </c>
      <c r="D83" s="43">
        <v>309764</v>
      </c>
      <c r="E83" s="43">
        <v>658276</v>
      </c>
      <c r="F83" s="43">
        <v>180185</v>
      </c>
      <c r="G83" s="43">
        <v>1148225</v>
      </c>
      <c r="H83" s="43">
        <v>63352</v>
      </c>
      <c r="I83" s="43">
        <v>1211577</v>
      </c>
    </row>
    <row r="84" spans="2:12">
      <c r="B84" s="40">
        <v>45747</v>
      </c>
      <c r="C84" s="43" t="str">
        <v>2025Q1</v>
      </c>
      <c r="D84" s="43">
        <v>297747</v>
      </c>
      <c r="E84" s="43">
        <v>670855</v>
      </c>
      <c r="F84" s="43">
        <v>173860</v>
      </c>
      <c r="G84" s="43">
        <v>1143676</v>
      </c>
      <c r="H84" s="43">
        <v>63346</v>
      </c>
      <c r="I84" s="43">
        <v>1207010</v>
      </c>
    </row>
    <row r="85" spans="2:12">
      <c r="B85" s="40">
        <v>45838</v>
      </c>
      <c r="C85" s="43" t="str">
        <v>2025Q2</v>
      </c>
      <c r="D85" s="43">
        <v>317441</v>
      </c>
      <c r="E85" s="43">
        <v>672861</v>
      </c>
      <c r="F85" s="43">
        <v>145865</v>
      </c>
      <c r="G85" s="43">
        <v>1135894</v>
      </c>
      <c r="H85" s="43">
        <v>63624</v>
      </c>
      <c r="I85" s="43">
        <v>1199530</v>
      </c>
    </row>
    <row r="86" spans="2:12">
      <c r="B86" s="40">
        <v>45930</v>
      </c>
      <c r="C86" s="43" t="str">
        <v>2025Q3</v>
      </c>
      <c r="D86" s="43">
        <v>334013</v>
      </c>
      <c r="E86" s="43">
        <v>674224</v>
      </c>
      <c r="F86" s="43">
        <v>150604</v>
      </c>
      <c r="G86" s="43">
        <v>1157788</v>
      </c>
      <c r="H86" s="43">
        <v>65065</v>
      </c>
      <c r="I86" s="43">
        <v>1222872</v>
      </c>
    </row>
    <row r="87" spans="2:12">
      <c r="B87" s="40">
        <v>46022</v>
      </c>
      <c r="C87" s="43" t="str">
        <v>2025Q4</v>
      </c>
      <c r="D87" s="43">
        <v>343238</v>
      </c>
      <c r="E87" s="43">
        <v>686497</v>
      </c>
      <c r="F87" s="43">
        <v>178064</v>
      </c>
      <c r="G87" s="43">
        <v>1206974</v>
      </c>
      <c r="H87" s="43">
        <v>65609</v>
      </c>
      <c r="I87" s="43">
        <v>1272528</v>
      </c>
    </row>
    <row r="93" spans="2:12">
      <c r="B93" s="42" t="s">
        <v>55</v>
      </c>
    </row>
    <row r="94" spans="2:12" ht="21.6">
      <c r="B94" s="40" t="str" cm="1">
        <f t="array" ref="B94:L130">Government_Revenues[#All]</f>
        <v>Date</v>
      </c>
      <c r="C94" s="43" t="str">
        <v>Quarter</v>
      </c>
      <c r="D94" s="43" t="str">
        <v>Total Revenue</v>
      </c>
      <c r="E94" s="43" t="str">
        <v>Oil Revenue</v>
      </c>
      <c r="F94" s="43" t="str">
        <v>Non Oil Revenues</v>
      </c>
      <c r="G94" s="43" t="str">
        <v>Taxes Revenues</v>
      </c>
      <c r="H94" s="43" t="str">
        <v>Income Taxes</v>
      </c>
      <c r="I94" s="43" t="str">
        <v>VAT</v>
      </c>
      <c r="J94" s="43" t="str">
        <v>INT Taxes</v>
      </c>
      <c r="K94" s="43" t="str">
        <v>Other Taxes</v>
      </c>
      <c r="L94" s="43" t="str">
        <v>Other Revenues</v>
      </c>
    </row>
    <row r="95" spans="2:12">
      <c r="B95" s="40">
        <v>42825</v>
      </c>
      <c r="C95" s="43" t="str">
        <v>2017Q1</v>
      </c>
      <c r="D95" s="43">
        <v>144100</v>
      </c>
      <c r="E95" s="43">
        <v>115100</v>
      </c>
      <c r="F95" s="43">
        <v>29000</v>
      </c>
      <c r="G95" s="43">
        <v>21900</v>
      </c>
      <c r="H95" s="43">
        <v>2100</v>
      </c>
      <c r="I95" s="43">
        <v>10400</v>
      </c>
      <c r="J95" s="43">
        <v>5300</v>
      </c>
      <c r="K95" s="43">
        <v>4100</v>
      </c>
      <c r="L95" s="43">
        <v>7100</v>
      </c>
    </row>
    <row r="96" spans="2:12">
      <c r="B96" s="40">
        <v>42916</v>
      </c>
      <c r="C96" s="43" t="str">
        <v>2017Q2</v>
      </c>
      <c r="D96" s="43">
        <v>163900</v>
      </c>
      <c r="E96" s="43">
        <v>101000</v>
      </c>
      <c r="F96" s="43">
        <v>62900</v>
      </c>
      <c r="G96" s="43">
        <v>26700</v>
      </c>
      <c r="H96" s="43">
        <v>3500</v>
      </c>
      <c r="I96" s="43">
        <v>11200</v>
      </c>
      <c r="J96" s="43">
        <v>5800</v>
      </c>
      <c r="K96" s="43">
        <v>6200</v>
      </c>
      <c r="L96" s="43">
        <v>36200</v>
      </c>
    </row>
    <row r="97" spans="2:12">
      <c r="B97" s="40">
        <v>43008</v>
      </c>
      <c r="C97" s="43" t="str">
        <v>2017Q3</v>
      </c>
      <c r="D97" s="43">
        <v>142100</v>
      </c>
      <c r="E97" s="43">
        <v>94300</v>
      </c>
      <c r="F97" s="43">
        <v>47800</v>
      </c>
      <c r="G97" s="43">
        <v>25300</v>
      </c>
      <c r="H97" s="43">
        <v>2800</v>
      </c>
      <c r="I97" s="43">
        <v>12100</v>
      </c>
      <c r="J97" s="43">
        <v>4900</v>
      </c>
      <c r="K97" s="43">
        <v>5500</v>
      </c>
      <c r="L97" s="43">
        <v>22500</v>
      </c>
    </row>
    <row r="98" spans="2:12">
      <c r="B98" s="40">
        <v>43100</v>
      </c>
      <c r="C98" s="43" t="str">
        <v>2017Q4</v>
      </c>
      <c r="D98" s="43">
        <v>241500</v>
      </c>
      <c r="E98" s="43">
        <v>129500</v>
      </c>
      <c r="F98" s="43">
        <v>112000</v>
      </c>
      <c r="G98" s="43">
        <v>36500</v>
      </c>
      <c r="H98" s="43">
        <v>5100</v>
      </c>
      <c r="I98" s="43">
        <v>13100</v>
      </c>
      <c r="J98" s="43">
        <v>5400</v>
      </c>
      <c r="K98" s="43">
        <v>12900</v>
      </c>
      <c r="L98" s="43">
        <v>75500</v>
      </c>
    </row>
    <row r="99" spans="2:12">
      <c r="B99" s="40">
        <v>43190</v>
      </c>
      <c r="C99" s="43" t="str">
        <v>2018Q1</v>
      </c>
      <c r="D99" s="43">
        <v>166300</v>
      </c>
      <c r="E99" s="43">
        <v>113900</v>
      </c>
      <c r="F99" s="43">
        <v>52400</v>
      </c>
      <c r="G99" s="43">
        <v>35900</v>
      </c>
      <c r="H99" s="43">
        <v>3200</v>
      </c>
      <c r="I99" s="43">
        <v>24300</v>
      </c>
      <c r="J99" s="43">
        <v>3800</v>
      </c>
      <c r="K99" s="43">
        <v>4600</v>
      </c>
      <c r="L99" s="43">
        <v>16500</v>
      </c>
    </row>
    <row r="100" spans="2:12">
      <c r="B100" s="40">
        <v>43281</v>
      </c>
      <c r="C100" s="43" t="str">
        <v>2018Q2</v>
      </c>
      <c r="D100" s="43">
        <v>273600</v>
      </c>
      <c r="E100" s="43">
        <v>184200</v>
      </c>
      <c r="F100" s="43">
        <v>89400</v>
      </c>
      <c r="G100" s="43">
        <v>48400</v>
      </c>
      <c r="H100" s="43">
        <v>4400</v>
      </c>
      <c r="I100" s="43">
        <v>29500</v>
      </c>
      <c r="J100" s="43">
        <v>4300</v>
      </c>
      <c r="K100" s="43">
        <v>10200</v>
      </c>
      <c r="L100" s="43">
        <v>41000</v>
      </c>
    </row>
    <row r="101" spans="2:12">
      <c r="B101" s="40">
        <v>43373</v>
      </c>
      <c r="C101" s="43" t="str">
        <v>2018Q3</v>
      </c>
      <c r="D101" s="43">
        <v>223300</v>
      </c>
      <c r="E101" s="43">
        <v>154000</v>
      </c>
      <c r="F101" s="43">
        <v>69300</v>
      </c>
      <c r="G101" s="43">
        <v>43900</v>
      </c>
      <c r="H101" s="43">
        <v>3900</v>
      </c>
      <c r="I101" s="43">
        <v>30100</v>
      </c>
      <c r="J101" s="43">
        <v>4100</v>
      </c>
      <c r="K101" s="43">
        <v>5800</v>
      </c>
      <c r="L101" s="43">
        <v>25400</v>
      </c>
    </row>
    <row r="102" spans="2:12">
      <c r="B102" s="40">
        <v>43465</v>
      </c>
      <c r="C102" s="43" t="str">
        <v>2018Q4</v>
      </c>
      <c r="D102" s="43">
        <v>252000</v>
      </c>
      <c r="E102" s="43">
        <v>158000</v>
      </c>
      <c r="F102" s="43">
        <v>94000</v>
      </c>
      <c r="G102" s="43">
        <v>58300</v>
      </c>
      <c r="H102" s="43">
        <v>5200</v>
      </c>
      <c r="I102" s="43">
        <v>34200</v>
      </c>
      <c r="J102" s="43">
        <v>4400</v>
      </c>
      <c r="K102" s="43">
        <v>14500</v>
      </c>
      <c r="L102" s="43">
        <v>35700</v>
      </c>
    </row>
    <row r="103" spans="2:12">
      <c r="B103" s="40">
        <v>43555</v>
      </c>
      <c r="C103" s="43" t="str">
        <v>2019Q1</v>
      </c>
      <c r="D103" s="43">
        <v>245400</v>
      </c>
      <c r="E103" s="43">
        <v>169100</v>
      </c>
      <c r="F103" s="43">
        <v>76300</v>
      </c>
      <c r="G103" s="43">
        <v>51900</v>
      </c>
      <c r="H103" s="43">
        <v>3500</v>
      </c>
      <c r="I103" s="43">
        <v>39100</v>
      </c>
      <c r="J103" s="43">
        <v>4200</v>
      </c>
      <c r="K103" s="43">
        <v>5100</v>
      </c>
      <c r="L103" s="43">
        <v>24400</v>
      </c>
    </row>
    <row r="104" spans="2:12">
      <c r="B104" s="40">
        <v>43646</v>
      </c>
      <c r="C104" s="43" t="str">
        <v>2019Q2</v>
      </c>
      <c r="D104" s="43">
        <v>260700</v>
      </c>
      <c r="E104" s="43">
        <v>174400</v>
      </c>
      <c r="F104" s="43">
        <v>86300</v>
      </c>
      <c r="G104" s="43">
        <v>60300</v>
      </c>
      <c r="H104" s="43">
        <v>4800</v>
      </c>
      <c r="I104" s="43">
        <v>38600</v>
      </c>
      <c r="J104" s="43">
        <v>4500</v>
      </c>
      <c r="K104" s="43">
        <v>12400</v>
      </c>
      <c r="L104" s="43">
        <v>26000</v>
      </c>
    </row>
    <row r="105" spans="2:12">
      <c r="B105" s="40">
        <v>43738</v>
      </c>
      <c r="C105" s="43" t="str">
        <v>2019Q3</v>
      </c>
      <c r="D105" s="43">
        <v>171500</v>
      </c>
      <c r="E105" s="43">
        <v>131800</v>
      </c>
      <c r="F105" s="43">
        <v>62100</v>
      </c>
      <c r="G105" s="43">
        <v>50900</v>
      </c>
      <c r="H105" s="43">
        <v>4100</v>
      </c>
      <c r="I105" s="43">
        <v>37400</v>
      </c>
      <c r="J105" s="43">
        <v>4100</v>
      </c>
      <c r="K105" s="43">
        <v>5300</v>
      </c>
      <c r="L105" s="43">
        <v>11200</v>
      </c>
    </row>
    <row r="106" spans="2:12">
      <c r="B106" s="40">
        <v>43830</v>
      </c>
      <c r="C106" s="43" t="str">
        <v>2019Q4</v>
      </c>
      <c r="D106" s="43">
        <v>239100</v>
      </c>
      <c r="E106" s="43">
        <v>118800</v>
      </c>
      <c r="F106" s="43">
        <v>120300</v>
      </c>
      <c r="G106" s="43">
        <v>70500</v>
      </c>
      <c r="H106" s="43">
        <v>5700</v>
      </c>
      <c r="I106" s="43">
        <v>44500</v>
      </c>
      <c r="J106" s="43">
        <v>4700</v>
      </c>
      <c r="K106" s="43">
        <v>15600</v>
      </c>
      <c r="L106" s="43">
        <v>49800</v>
      </c>
    </row>
    <row r="107" spans="2:12">
      <c r="B107" s="40">
        <v>43921</v>
      </c>
      <c r="C107" s="43" t="str">
        <v>2020Q1</v>
      </c>
      <c r="D107" s="43">
        <v>192100</v>
      </c>
      <c r="E107" s="43">
        <v>128800</v>
      </c>
      <c r="F107" s="43">
        <v>63300</v>
      </c>
      <c r="G107" s="43">
        <v>51900</v>
      </c>
      <c r="H107" s="43">
        <v>3400</v>
      </c>
      <c r="I107" s="43">
        <v>41400</v>
      </c>
      <c r="J107" s="43">
        <v>3900</v>
      </c>
      <c r="K107" s="43">
        <v>3200</v>
      </c>
      <c r="L107" s="43">
        <v>11400</v>
      </c>
    </row>
    <row r="108" spans="2:12">
      <c r="B108" s="40">
        <v>44012</v>
      </c>
      <c r="C108" s="43" t="str">
        <v>2020Q2</v>
      </c>
      <c r="D108" s="43">
        <v>134100</v>
      </c>
      <c r="E108" s="43">
        <v>94800</v>
      </c>
      <c r="F108" s="43">
        <v>39300</v>
      </c>
      <c r="G108" s="43">
        <v>33800</v>
      </c>
      <c r="H108" s="43">
        <v>4500</v>
      </c>
      <c r="I108" s="43">
        <v>23300</v>
      </c>
      <c r="J108" s="43">
        <v>3500</v>
      </c>
      <c r="K108" s="43">
        <v>2500</v>
      </c>
      <c r="L108" s="43">
        <v>5500</v>
      </c>
    </row>
    <row r="109" spans="2:12">
      <c r="B109" s="40">
        <v>44104</v>
      </c>
      <c r="C109" s="43" t="str">
        <v>2020Q3</v>
      </c>
      <c r="D109" s="43">
        <v>215600</v>
      </c>
      <c r="E109" s="43">
        <v>103300</v>
      </c>
      <c r="F109" s="43">
        <v>112300</v>
      </c>
      <c r="G109" s="43">
        <v>62500</v>
      </c>
      <c r="H109" s="43">
        <v>3800</v>
      </c>
      <c r="I109" s="43">
        <v>50100</v>
      </c>
      <c r="J109" s="43">
        <v>4400</v>
      </c>
      <c r="K109" s="43">
        <v>4200</v>
      </c>
      <c r="L109" s="43">
        <v>49800</v>
      </c>
    </row>
    <row r="110" spans="2:12">
      <c r="B110" s="40">
        <v>44196</v>
      </c>
      <c r="C110" s="43" t="str">
        <v>2020Q4</v>
      </c>
      <c r="D110" s="43">
        <v>240200</v>
      </c>
      <c r="E110" s="43">
        <v>115100</v>
      </c>
      <c r="F110" s="43">
        <v>125100</v>
      </c>
      <c r="G110" s="43">
        <v>97300</v>
      </c>
      <c r="H110" s="43">
        <v>4900</v>
      </c>
      <c r="I110" s="43">
        <v>76500</v>
      </c>
      <c r="J110" s="43">
        <v>4700</v>
      </c>
      <c r="K110" s="43">
        <v>11200</v>
      </c>
      <c r="L110" s="43">
        <v>27800</v>
      </c>
    </row>
    <row r="111" spans="2:12">
      <c r="B111" s="40">
        <v>44286</v>
      </c>
      <c r="C111" s="43" t="str">
        <v>2021Q1</v>
      </c>
      <c r="D111" s="43">
        <v>204800</v>
      </c>
      <c r="E111" s="43">
        <v>116600</v>
      </c>
      <c r="F111" s="43">
        <v>88200</v>
      </c>
      <c r="G111" s="43">
        <v>66400</v>
      </c>
      <c r="H111" s="43">
        <v>4200</v>
      </c>
      <c r="I111" s="43">
        <v>53700</v>
      </c>
      <c r="J111" s="43">
        <v>4100</v>
      </c>
      <c r="K111" s="43">
        <v>4400</v>
      </c>
      <c r="L111" s="43">
        <v>21800</v>
      </c>
    </row>
    <row r="112" spans="2:12">
      <c r="B112" s="40">
        <v>44377</v>
      </c>
      <c r="C112" s="43" t="str">
        <v>2021Q2</v>
      </c>
      <c r="D112" s="43">
        <v>248100</v>
      </c>
      <c r="E112" s="43">
        <v>132100</v>
      </c>
      <c r="F112" s="43">
        <v>116000</v>
      </c>
      <c r="G112" s="43">
        <v>86900</v>
      </c>
      <c r="H112" s="43">
        <v>6100</v>
      </c>
      <c r="I112" s="43">
        <v>63500</v>
      </c>
      <c r="J112" s="43">
        <v>4500</v>
      </c>
      <c r="K112" s="43">
        <v>12800</v>
      </c>
      <c r="L112" s="43">
        <v>29100</v>
      </c>
    </row>
    <row r="113" spans="2:12">
      <c r="B113" s="40">
        <v>44469</v>
      </c>
      <c r="C113" s="43" t="str">
        <v>2021Q3</v>
      </c>
      <c r="D113" s="43">
        <v>243400</v>
      </c>
      <c r="E113" s="43">
        <v>147900</v>
      </c>
      <c r="F113" s="43">
        <v>95500</v>
      </c>
      <c r="G113" s="43">
        <v>75200</v>
      </c>
      <c r="H113" s="43">
        <v>5400</v>
      </c>
      <c r="I113" s="43">
        <v>60100</v>
      </c>
      <c r="J113" s="43">
        <v>4400</v>
      </c>
      <c r="K113" s="43">
        <v>5300</v>
      </c>
      <c r="L113" s="43">
        <v>20300</v>
      </c>
    </row>
    <row r="114" spans="2:12">
      <c r="B114" s="40">
        <v>44561</v>
      </c>
      <c r="C114" s="43" t="str">
        <v>2021Q4</v>
      </c>
      <c r="D114" s="43">
        <v>270100</v>
      </c>
      <c r="E114" s="43">
        <v>169200</v>
      </c>
      <c r="F114" s="43">
        <v>100900</v>
      </c>
      <c r="G114" s="43">
        <v>89300</v>
      </c>
      <c r="H114" s="43">
        <v>6800</v>
      </c>
      <c r="I114" s="43">
        <v>63800</v>
      </c>
      <c r="J114" s="43">
        <v>4800</v>
      </c>
      <c r="K114" s="43">
        <v>13900</v>
      </c>
      <c r="L114" s="43">
        <v>11600</v>
      </c>
    </row>
    <row r="115" spans="2:12">
      <c r="B115" s="40">
        <v>44651</v>
      </c>
      <c r="C115" s="43" t="str">
        <v>2022Q1</v>
      </c>
      <c r="D115" s="43">
        <v>277960</v>
      </c>
      <c r="E115" s="43">
        <v>183700</v>
      </c>
      <c r="F115" s="43">
        <v>94260</v>
      </c>
      <c r="G115" s="43">
        <v>74600</v>
      </c>
      <c r="H115" s="43">
        <v>4500</v>
      </c>
      <c r="I115" s="43">
        <v>60400</v>
      </c>
      <c r="J115" s="43">
        <v>4600</v>
      </c>
      <c r="K115" s="43">
        <v>5100</v>
      </c>
      <c r="L115" s="43">
        <v>19660</v>
      </c>
    </row>
    <row r="116" spans="2:12">
      <c r="B116" s="40">
        <v>44742</v>
      </c>
      <c r="C116" s="43" t="str">
        <v>2022Q2</v>
      </c>
      <c r="D116" s="43">
        <v>370370</v>
      </c>
      <c r="E116" s="43">
        <v>250360</v>
      </c>
      <c r="F116" s="43">
        <v>120010</v>
      </c>
      <c r="G116" s="43">
        <v>93600</v>
      </c>
      <c r="H116" s="43">
        <v>8100</v>
      </c>
      <c r="I116" s="43">
        <v>65400</v>
      </c>
      <c r="J116" s="43">
        <v>4900</v>
      </c>
      <c r="K116" s="43">
        <v>15200</v>
      </c>
      <c r="L116" s="43">
        <v>26410</v>
      </c>
    </row>
    <row r="117" spans="2:12">
      <c r="B117" s="40">
        <v>44834</v>
      </c>
      <c r="C117" s="43" t="str">
        <v>2022Q3</v>
      </c>
      <c r="D117" s="43">
        <v>301870</v>
      </c>
      <c r="E117" s="43">
        <v>229020</v>
      </c>
      <c r="F117" s="43">
        <v>82550</v>
      </c>
      <c r="G117" s="43">
        <v>77700</v>
      </c>
      <c r="H117" s="43">
        <v>6500</v>
      </c>
      <c r="I117" s="43">
        <v>61200</v>
      </c>
      <c r="J117" s="43">
        <v>4700</v>
      </c>
      <c r="K117" s="43">
        <v>5300</v>
      </c>
      <c r="L117" s="43">
        <v>4850</v>
      </c>
    </row>
    <row r="118" spans="2:12">
      <c r="B118" s="40">
        <v>44926</v>
      </c>
      <c r="C118" s="43" t="str">
        <v>2022Q4</v>
      </c>
      <c r="D118" s="43">
        <v>318000</v>
      </c>
      <c r="E118" s="43">
        <v>205100</v>
      </c>
      <c r="F118" s="43">
        <v>112900</v>
      </c>
      <c r="G118" s="43">
        <v>96800</v>
      </c>
      <c r="H118" s="43">
        <v>8800</v>
      </c>
      <c r="I118" s="43">
        <v>65500</v>
      </c>
      <c r="J118" s="43">
        <v>5400</v>
      </c>
      <c r="K118" s="43">
        <v>17100</v>
      </c>
      <c r="L118" s="43">
        <v>16100</v>
      </c>
    </row>
    <row r="119" spans="2:12">
      <c r="B119" s="40">
        <v>45016</v>
      </c>
      <c r="C119" s="43" t="str">
        <v>2023Q1</v>
      </c>
      <c r="D119" s="43">
        <v>280940</v>
      </c>
      <c r="E119" s="43">
        <v>178610</v>
      </c>
      <c r="F119" s="43">
        <v>102330</v>
      </c>
      <c r="G119" s="43">
        <v>79430</v>
      </c>
      <c r="H119" s="43">
        <v>5400</v>
      </c>
      <c r="I119" s="43">
        <v>63200</v>
      </c>
      <c r="J119" s="43">
        <v>5200</v>
      </c>
      <c r="K119" s="43">
        <v>5630</v>
      </c>
      <c r="L119" s="43">
        <v>22900</v>
      </c>
    </row>
    <row r="120" spans="2:12">
      <c r="B120" s="40">
        <v>45107</v>
      </c>
      <c r="C120" s="43" t="str">
        <v>2023Q2</v>
      </c>
      <c r="D120" s="43">
        <v>314820</v>
      </c>
      <c r="E120" s="43">
        <v>179740</v>
      </c>
      <c r="F120" s="43">
        <v>135080</v>
      </c>
      <c r="G120" s="43">
        <v>101800</v>
      </c>
      <c r="H120" s="43">
        <v>7900</v>
      </c>
      <c r="I120" s="43">
        <v>66100</v>
      </c>
      <c r="J120" s="43">
        <v>5200</v>
      </c>
      <c r="K120" s="43">
        <v>22600</v>
      </c>
      <c r="L120" s="43">
        <v>33280</v>
      </c>
    </row>
    <row r="121" spans="2:12">
      <c r="B121" s="40">
        <v>45199</v>
      </c>
      <c r="C121" s="43" t="str">
        <v>2023Q3</v>
      </c>
      <c r="D121" s="43">
        <v>258540</v>
      </c>
      <c r="E121" s="43">
        <v>147000</v>
      </c>
      <c r="F121" s="43">
        <v>111540</v>
      </c>
      <c r="G121" s="43">
        <v>84140</v>
      </c>
      <c r="H121" s="43">
        <v>6400</v>
      </c>
      <c r="I121" s="43">
        <v>64900</v>
      </c>
      <c r="J121" s="43">
        <v>6000</v>
      </c>
      <c r="K121" s="43">
        <v>6840</v>
      </c>
      <c r="L121" s="43">
        <v>27400</v>
      </c>
    </row>
    <row r="122" spans="2:12">
      <c r="B122" s="40">
        <v>45291</v>
      </c>
      <c r="C122" s="43" t="str">
        <v>2023Q4</v>
      </c>
      <c r="D122" s="43">
        <v>357980</v>
      </c>
      <c r="E122" s="43">
        <v>249200</v>
      </c>
      <c r="F122" s="43">
        <v>108780</v>
      </c>
      <c r="G122" s="43">
        <v>91680</v>
      </c>
      <c r="H122" s="43">
        <v>18900</v>
      </c>
      <c r="I122" s="43">
        <v>68300</v>
      </c>
      <c r="J122" s="43">
        <v>5700</v>
      </c>
      <c r="K122" s="43">
        <v>-1220</v>
      </c>
      <c r="L122" s="43">
        <v>17100</v>
      </c>
    </row>
    <row r="123" spans="2:12">
      <c r="B123" s="40">
        <v>45382</v>
      </c>
      <c r="C123" s="43" t="str">
        <v>2024Q1</v>
      </c>
      <c r="D123" s="43">
        <v>293430</v>
      </c>
      <c r="E123" s="43">
        <v>181920</v>
      </c>
      <c r="F123" s="43">
        <v>111512</v>
      </c>
      <c r="G123" s="43">
        <v>86171</v>
      </c>
      <c r="H123" s="43">
        <v>6545</v>
      </c>
      <c r="I123" s="43">
        <v>69903</v>
      </c>
      <c r="J123" s="43">
        <v>6033</v>
      </c>
      <c r="K123" s="43">
        <v>3690</v>
      </c>
      <c r="L123" s="43">
        <v>25341</v>
      </c>
    </row>
    <row r="124" spans="2:12">
      <c r="B124" s="40">
        <v>45473</v>
      </c>
      <c r="C124" s="43" t="str">
        <v>2024Q2</v>
      </c>
      <c r="D124" s="43">
        <v>353590</v>
      </c>
      <c r="E124" s="43">
        <v>212990</v>
      </c>
      <c r="F124" s="43">
        <v>140600</v>
      </c>
      <c r="G124" s="43">
        <v>113000</v>
      </c>
      <c r="H124" s="43">
        <v>12900</v>
      </c>
      <c r="I124" s="43">
        <v>70100</v>
      </c>
      <c r="J124" s="43">
        <v>5500</v>
      </c>
      <c r="K124" s="43">
        <v>24500</v>
      </c>
      <c r="L124" s="43">
        <v>27600</v>
      </c>
    </row>
    <row r="125" spans="2:12">
      <c r="B125" s="40">
        <v>45565</v>
      </c>
      <c r="C125" s="43" t="str">
        <v>2024Q3</v>
      </c>
      <c r="D125" s="43">
        <v>309210</v>
      </c>
      <c r="E125" s="43">
        <v>190870</v>
      </c>
      <c r="F125" s="43">
        <v>118340</v>
      </c>
      <c r="G125" s="43">
        <v>90640</v>
      </c>
      <c r="H125" s="43">
        <v>6040</v>
      </c>
      <c r="I125" s="43">
        <v>73900</v>
      </c>
      <c r="J125" s="43">
        <v>5400</v>
      </c>
      <c r="K125" s="43">
        <v>5300</v>
      </c>
      <c r="L125" s="43">
        <v>27700</v>
      </c>
    </row>
    <row r="126" spans="2:12">
      <c r="B126" s="40">
        <v>45657</v>
      </c>
      <c r="C126" s="43" t="str">
        <v>2024Q4</v>
      </c>
      <c r="D126" s="43">
        <v>302860</v>
      </c>
      <c r="E126" s="43">
        <v>170840</v>
      </c>
      <c r="F126" s="43">
        <v>132020</v>
      </c>
      <c r="G126" s="43">
        <v>90700</v>
      </c>
      <c r="H126" s="43">
        <v>6100</v>
      </c>
      <c r="I126" s="43">
        <v>74900</v>
      </c>
      <c r="J126" s="43">
        <v>7600</v>
      </c>
      <c r="K126" s="43">
        <v>2100</v>
      </c>
      <c r="L126" s="43">
        <v>41320</v>
      </c>
    </row>
    <row r="127" spans="2:12">
      <c r="B127" s="40">
        <v>45747</v>
      </c>
      <c r="C127" s="43" t="str">
        <v>2025Q1</v>
      </c>
      <c r="D127" s="43">
        <v>263600</v>
      </c>
      <c r="E127" s="43">
        <v>149810</v>
      </c>
      <c r="F127" s="43">
        <v>113806</v>
      </c>
      <c r="G127" s="43">
        <v>88400</v>
      </c>
      <c r="H127" s="43">
        <v>6698</v>
      </c>
      <c r="I127" s="43">
        <v>71561</v>
      </c>
      <c r="J127" s="43">
        <v>5558</v>
      </c>
      <c r="K127" s="43">
        <v>4583</v>
      </c>
      <c r="L127" s="43">
        <v>25406</v>
      </c>
    </row>
    <row r="128" spans="2:12">
      <c r="B128" s="40">
        <v>45838</v>
      </c>
      <c r="C128" s="43" t="str">
        <v>2025Q2</v>
      </c>
      <c r="D128" s="43">
        <v>301600</v>
      </c>
      <c r="E128" s="43">
        <v>151734</v>
      </c>
      <c r="F128" s="43">
        <v>149861</v>
      </c>
      <c r="G128" s="43">
        <v>120993</v>
      </c>
      <c r="H128" s="43">
        <v>13729</v>
      </c>
      <c r="I128" s="43">
        <v>74950</v>
      </c>
      <c r="J128" s="43">
        <v>6323</v>
      </c>
      <c r="K128" s="43">
        <v>25991</v>
      </c>
      <c r="L128" s="43">
        <v>28868</v>
      </c>
    </row>
    <row r="129" spans="2:24">
      <c r="B129" s="40">
        <v>45930</v>
      </c>
      <c r="C129" s="43" t="str">
        <v>2025Q3</v>
      </c>
      <c r="D129" s="43">
        <v>269900</v>
      </c>
      <c r="E129" s="43">
        <v>150816</v>
      </c>
      <c r="F129" s="43">
        <v>119059</v>
      </c>
      <c r="G129" s="43">
        <v>89755</v>
      </c>
      <c r="H129" s="43">
        <v>6662</v>
      </c>
      <c r="I129" s="43">
        <v>74330</v>
      </c>
      <c r="J129" s="43">
        <v>5694</v>
      </c>
      <c r="K129" s="43">
        <v>3069</v>
      </c>
      <c r="L129" s="43">
        <v>29304</v>
      </c>
    </row>
    <row r="130" spans="2:24">
      <c r="B130" s="40">
        <v>46022</v>
      </c>
      <c r="C130" s="43" t="str">
        <v>2025Q4</v>
      </c>
      <c r="D130" s="43">
        <v>348900</v>
      </c>
      <c r="E130" s="43">
        <v>154185</v>
      </c>
      <c r="F130" s="43">
        <v>122558</v>
      </c>
      <c r="G130" s="43">
        <v>89774</v>
      </c>
      <c r="H130" s="43">
        <v>6969</v>
      </c>
      <c r="I130" s="43">
        <v>73502</v>
      </c>
      <c r="J130" s="43">
        <v>6712</v>
      </c>
      <c r="K130" s="43">
        <v>2591</v>
      </c>
      <c r="L130" s="43">
        <v>32784</v>
      </c>
    </row>
    <row r="134" spans="2:24">
      <c r="R134" s="43"/>
      <c r="S134" s="43"/>
      <c r="T134" s="43"/>
      <c r="U134" s="43"/>
      <c r="V134" s="43"/>
      <c r="W134" s="43"/>
      <c r="X134" s="43"/>
    </row>
    <row r="135" spans="2:24">
      <c r="B135" s="42" t="s">
        <v>56</v>
      </c>
      <c r="R135" s="43"/>
      <c r="S135" s="43"/>
      <c r="T135" s="43"/>
      <c r="U135" s="43"/>
      <c r="V135" s="43"/>
      <c r="W135" s="43"/>
      <c r="X135" s="43"/>
    </row>
    <row r="136" spans="2:24" ht="21.6">
      <c r="B136" s="40" t="str" cm="1">
        <f t="array" ref="B136:L176">Government_Expenditures[#All]</f>
        <v>Date</v>
      </c>
      <c r="C136" s="43" t="str">
        <v>Quarter</v>
      </c>
      <c r="D136" s="43" t="str">
        <v>Total Exp</v>
      </c>
      <c r="E136" s="43" t="str">
        <v>Compensation</v>
      </c>
      <c r="F136" s="43" t="str">
        <v>Goods/Services</v>
      </c>
      <c r="G136" s="43" t="str">
        <v>Financing</v>
      </c>
      <c r="H136" s="43" t="str">
        <v>Subsidies</v>
      </c>
      <c r="I136" s="43" t="str">
        <v>Grants</v>
      </c>
      <c r="J136" s="43" t="str">
        <v>Social Benefits</v>
      </c>
      <c r="K136" s="43" t="str">
        <v>Other Expenses</v>
      </c>
      <c r="L136" s="43" t="str">
        <v>CAPEX</v>
      </c>
      <c r="R136" s="43"/>
      <c r="S136" s="43"/>
      <c r="T136" s="43"/>
      <c r="U136" s="43"/>
      <c r="V136" s="43"/>
      <c r="W136" s="43"/>
      <c r="X136" s="43"/>
    </row>
    <row r="137" spans="2:24">
      <c r="B137" s="40">
        <v>42825</v>
      </c>
      <c r="C137" s="43" t="str">
        <v>2017Q1</v>
      </c>
      <c r="D137" s="43">
        <v>170300</v>
      </c>
      <c r="E137" s="43">
        <v>90400</v>
      </c>
      <c r="F137" s="43">
        <v>18200</v>
      </c>
      <c r="G137" s="43">
        <v>900</v>
      </c>
      <c r="H137" s="43">
        <v>1200</v>
      </c>
      <c r="I137" s="43">
        <v>120</v>
      </c>
      <c r="J137" s="43">
        <v>13400</v>
      </c>
      <c r="K137" s="43">
        <v>36780</v>
      </c>
      <c r="L137" s="43">
        <v>9300</v>
      </c>
      <c r="R137" s="43"/>
      <c r="S137" s="43"/>
      <c r="T137" s="43"/>
      <c r="U137" s="43"/>
      <c r="V137" s="43"/>
      <c r="W137" s="43"/>
      <c r="X137" s="43"/>
    </row>
    <row r="138" spans="2:24">
      <c r="B138" s="40">
        <v>42916</v>
      </c>
      <c r="C138" s="43" t="str">
        <v>2017Q2</v>
      </c>
      <c r="D138" s="43">
        <v>210400</v>
      </c>
      <c r="E138" s="43">
        <v>102100</v>
      </c>
      <c r="F138" s="43">
        <v>25600</v>
      </c>
      <c r="G138" s="43">
        <v>1400</v>
      </c>
      <c r="H138" s="43">
        <v>1800</v>
      </c>
      <c r="I138" s="43">
        <v>1500</v>
      </c>
      <c r="J138" s="43">
        <v>15600</v>
      </c>
      <c r="K138" s="43">
        <v>27700</v>
      </c>
      <c r="L138" s="43">
        <v>34700</v>
      </c>
      <c r="R138" s="43"/>
      <c r="S138" s="43"/>
      <c r="T138" s="43"/>
      <c r="U138" s="43"/>
      <c r="V138" s="43"/>
      <c r="W138" s="43"/>
      <c r="X138" s="43"/>
    </row>
    <row r="139" spans="2:24">
      <c r="B139" s="40">
        <v>43008</v>
      </c>
      <c r="C139" s="43" t="str">
        <v>2017Q3</v>
      </c>
      <c r="D139" s="43">
        <v>190900</v>
      </c>
      <c r="E139" s="43">
        <v>100500</v>
      </c>
      <c r="F139" s="43">
        <v>22100</v>
      </c>
      <c r="G139" s="43">
        <v>1100</v>
      </c>
      <c r="H139" s="43">
        <v>1500</v>
      </c>
      <c r="I139" s="43">
        <v>700</v>
      </c>
      <c r="J139" s="43">
        <v>14800</v>
      </c>
      <c r="K139" s="43">
        <v>25700</v>
      </c>
      <c r="L139" s="43">
        <v>24500</v>
      </c>
      <c r="R139" s="43"/>
      <c r="S139" s="43"/>
      <c r="T139" s="43"/>
      <c r="U139" s="43"/>
      <c r="V139" s="43"/>
      <c r="W139" s="43"/>
      <c r="X139" s="43"/>
    </row>
    <row r="140" spans="2:24">
      <c r="B140" s="40">
        <v>43100</v>
      </c>
      <c r="C140" s="43" t="str">
        <v>2017Q4</v>
      </c>
      <c r="D140" s="43">
        <v>356400</v>
      </c>
      <c r="E140" s="43">
        <v>114200</v>
      </c>
      <c r="F140" s="43">
        <v>65300</v>
      </c>
      <c r="G140" s="43">
        <v>2700</v>
      </c>
      <c r="H140" s="43">
        <v>3900</v>
      </c>
      <c r="I140" s="43">
        <v>9100</v>
      </c>
      <c r="J140" s="43">
        <v>18500</v>
      </c>
      <c r="K140" s="43">
        <v>41700</v>
      </c>
      <c r="L140" s="43">
        <v>101000</v>
      </c>
      <c r="P140" s="39"/>
      <c r="Q140" s="39"/>
    </row>
    <row r="141" spans="2:24">
      <c r="B141" s="40">
        <v>43190</v>
      </c>
      <c r="C141" s="43" t="str">
        <v>2018Q1</v>
      </c>
      <c r="D141" s="43">
        <v>200600</v>
      </c>
      <c r="E141" s="43">
        <v>106700</v>
      </c>
      <c r="F141" s="43">
        <v>19800</v>
      </c>
      <c r="G141" s="43">
        <v>1200</v>
      </c>
      <c r="H141" s="43">
        <v>2100</v>
      </c>
      <c r="I141" s="43">
        <v>250</v>
      </c>
      <c r="J141" s="43">
        <v>19300</v>
      </c>
      <c r="K141" s="43">
        <v>25950</v>
      </c>
      <c r="L141" s="43">
        <v>25300</v>
      </c>
    </row>
    <row r="142" spans="2:24">
      <c r="B142" s="40">
        <v>43281</v>
      </c>
      <c r="C142" s="43" t="str">
        <v>2018Q2</v>
      </c>
      <c r="D142" s="43">
        <v>281000</v>
      </c>
      <c r="E142" s="43">
        <v>120400</v>
      </c>
      <c r="F142" s="43">
        <v>45600</v>
      </c>
      <c r="G142" s="43">
        <v>1900</v>
      </c>
      <c r="H142" s="43">
        <v>3400</v>
      </c>
      <c r="I142" s="43">
        <v>500</v>
      </c>
      <c r="J142" s="43">
        <v>25400</v>
      </c>
      <c r="K142" s="43">
        <v>29900</v>
      </c>
      <c r="L142" s="43">
        <v>53900</v>
      </c>
    </row>
    <row r="143" spans="2:24">
      <c r="B143" s="40">
        <v>43373</v>
      </c>
      <c r="C143" s="43" t="str">
        <v>2018Q3</v>
      </c>
      <c r="D143" s="43">
        <v>230500</v>
      </c>
      <c r="E143" s="43">
        <v>115200</v>
      </c>
      <c r="F143" s="43">
        <v>30100</v>
      </c>
      <c r="G143" s="43">
        <v>1500</v>
      </c>
      <c r="H143" s="43">
        <v>2800</v>
      </c>
      <c r="I143" s="43">
        <v>2100</v>
      </c>
      <c r="J143" s="43">
        <v>19400</v>
      </c>
      <c r="K143" s="43">
        <v>13100</v>
      </c>
      <c r="L143" s="43">
        <v>46300</v>
      </c>
      <c r="O143" s="61" t="s">
        <v>7</v>
      </c>
      <c r="P143" s="43" cm="1">
        <f t="array" ref="P143:P151">TRANSPOSE(_xlfn.XLOOKUP(Dashboard!$A$1,Data!$C$137:$C$172,Data!$D$137:$L$172))</f>
        <v>252700</v>
      </c>
    </row>
    <row r="144" spans="2:24">
      <c r="B144" s="40">
        <v>43465</v>
      </c>
      <c r="C144" s="43" t="str">
        <v>2018Q4</v>
      </c>
      <c r="D144" s="43">
        <v>318000</v>
      </c>
      <c r="E144" s="43">
        <v>126100</v>
      </c>
      <c r="F144" s="43">
        <v>46800</v>
      </c>
      <c r="G144" s="43">
        <v>2100</v>
      </c>
      <c r="H144" s="43">
        <v>4200</v>
      </c>
      <c r="I144" s="43">
        <v>2450</v>
      </c>
      <c r="J144" s="43">
        <v>26500</v>
      </c>
      <c r="K144" s="43">
        <v>39850</v>
      </c>
      <c r="L144" s="43">
        <v>70000</v>
      </c>
      <c r="O144" s="61" t="s">
        <v>8</v>
      </c>
      <c r="P144" s="43">
        <v>130500</v>
      </c>
    </row>
    <row r="145" spans="2:16">
      <c r="B145" s="40">
        <v>43555</v>
      </c>
      <c r="C145" s="43" t="str">
        <v>2019Q1</v>
      </c>
      <c r="D145" s="43">
        <v>217600</v>
      </c>
      <c r="E145" s="43">
        <v>121500</v>
      </c>
      <c r="F145" s="43">
        <v>22400</v>
      </c>
      <c r="G145" s="43">
        <v>1800</v>
      </c>
      <c r="H145" s="43">
        <v>3100</v>
      </c>
      <c r="I145" s="43">
        <v>300</v>
      </c>
      <c r="J145" s="43">
        <v>18900</v>
      </c>
      <c r="K145" s="43">
        <v>27900</v>
      </c>
      <c r="L145" s="43">
        <v>21700</v>
      </c>
      <c r="O145" s="61" t="s">
        <v>9</v>
      </c>
      <c r="P145" s="43">
        <v>34200</v>
      </c>
    </row>
    <row r="146" spans="2:16">
      <c r="B146" s="40">
        <v>43646</v>
      </c>
      <c r="C146" s="43" t="str">
        <v>2019Q2</v>
      </c>
      <c r="D146" s="43">
        <v>267200</v>
      </c>
      <c r="E146" s="43">
        <v>125400</v>
      </c>
      <c r="F146" s="43">
        <v>43200</v>
      </c>
      <c r="G146" s="43">
        <v>2400</v>
      </c>
      <c r="H146" s="43">
        <v>5200</v>
      </c>
      <c r="I146" s="43">
        <v>1000</v>
      </c>
      <c r="J146" s="43">
        <v>22100</v>
      </c>
      <c r="K146" s="43">
        <v>19100</v>
      </c>
      <c r="L146" s="43">
        <v>48800</v>
      </c>
      <c r="O146" s="61" t="s">
        <v>10</v>
      </c>
      <c r="P146" s="43">
        <v>5200</v>
      </c>
    </row>
    <row r="147" spans="2:16">
      <c r="B147" s="40">
        <v>43738</v>
      </c>
      <c r="C147" s="43" t="str">
        <v>2019Q3</v>
      </c>
      <c r="D147" s="43">
        <v>203600</v>
      </c>
      <c r="E147" s="43">
        <v>118600</v>
      </c>
      <c r="F147" s="43">
        <v>25100</v>
      </c>
      <c r="G147" s="43">
        <v>2100</v>
      </c>
      <c r="H147" s="43">
        <v>4500</v>
      </c>
      <c r="I147" s="43">
        <v>600</v>
      </c>
      <c r="J147" s="43">
        <v>17400</v>
      </c>
      <c r="K147" s="43">
        <v>16700</v>
      </c>
      <c r="L147" s="43">
        <v>18600</v>
      </c>
      <c r="O147" s="61" t="s">
        <v>11</v>
      </c>
      <c r="P147" s="43">
        <v>7100</v>
      </c>
    </row>
    <row r="148" spans="2:16">
      <c r="B148" s="40">
        <v>43830</v>
      </c>
      <c r="C148" s="43" t="str">
        <v>2019Q4</v>
      </c>
      <c r="D148" s="43">
        <v>371400</v>
      </c>
      <c r="E148" s="43">
        <v>129500</v>
      </c>
      <c r="F148" s="43">
        <v>85400</v>
      </c>
      <c r="G148" s="43">
        <v>3400</v>
      </c>
      <c r="H148" s="43">
        <v>8200</v>
      </c>
      <c r="I148" s="43">
        <v>5400</v>
      </c>
      <c r="J148" s="43">
        <v>25600</v>
      </c>
      <c r="K148" s="43">
        <v>31200</v>
      </c>
      <c r="L148" s="43">
        <v>82700</v>
      </c>
      <c r="O148" s="61" t="s">
        <v>12</v>
      </c>
      <c r="P148" s="43">
        <v>850</v>
      </c>
    </row>
    <row r="149" spans="2:16">
      <c r="B149" s="40">
        <v>43921</v>
      </c>
      <c r="C149" s="43" t="str">
        <v>2020Q1</v>
      </c>
      <c r="D149" s="43">
        <v>226200</v>
      </c>
      <c r="E149" s="43">
        <v>122800</v>
      </c>
      <c r="F149" s="43">
        <v>34200</v>
      </c>
      <c r="G149" s="43">
        <v>3200</v>
      </c>
      <c r="H149" s="43">
        <v>5400</v>
      </c>
      <c r="I149" s="43">
        <v>200</v>
      </c>
      <c r="J149" s="43">
        <v>18200</v>
      </c>
      <c r="K149" s="43">
        <v>21500</v>
      </c>
      <c r="L149" s="43">
        <v>20700</v>
      </c>
      <c r="O149" s="61" t="s">
        <v>13</v>
      </c>
      <c r="P149" s="43">
        <v>22400</v>
      </c>
    </row>
    <row r="150" spans="2:16">
      <c r="B150" s="40">
        <v>44012</v>
      </c>
      <c r="C150" s="43" t="str">
        <v>2020Q2</v>
      </c>
      <c r="D150" s="43">
        <v>243200</v>
      </c>
      <c r="E150" s="43">
        <v>124100</v>
      </c>
      <c r="F150" s="43">
        <v>41500</v>
      </c>
      <c r="G150" s="43">
        <v>3800</v>
      </c>
      <c r="H150" s="43">
        <v>6100</v>
      </c>
      <c r="I150" s="43">
        <v>4000</v>
      </c>
      <c r="J150" s="43">
        <v>22400</v>
      </c>
      <c r="K150" s="43">
        <v>9400</v>
      </c>
      <c r="L150" s="43">
        <v>31900</v>
      </c>
      <c r="O150" s="61" t="s">
        <v>14</v>
      </c>
      <c r="P150" s="43">
        <v>19850</v>
      </c>
    </row>
    <row r="151" spans="2:16">
      <c r="B151" s="40">
        <v>44104</v>
      </c>
      <c r="C151" s="43" t="str">
        <v>2020Q3</v>
      </c>
      <c r="D151" s="43">
        <v>256300</v>
      </c>
      <c r="E151" s="43">
        <v>123400</v>
      </c>
      <c r="F151" s="43">
        <v>52100</v>
      </c>
      <c r="G151" s="43">
        <v>4200</v>
      </c>
      <c r="H151" s="43">
        <v>7500</v>
      </c>
      <c r="I151" s="43">
        <v>150</v>
      </c>
      <c r="J151" s="43">
        <v>18900</v>
      </c>
      <c r="K151" s="43">
        <v>21150</v>
      </c>
      <c r="L151" s="43">
        <v>28900</v>
      </c>
      <c r="O151" s="61" t="s">
        <v>15</v>
      </c>
      <c r="P151" s="43">
        <v>32600</v>
      </c>
    </row>
    <row r="152" spans="2:16">
      <c r="B152" s="40">
        <v>44196</v>
      </c>
      <c r="C152" s="43" t="str">
        <v>2020Q4</v>
      </c>
      <c r="D152" s="43">
        <v>351000</v>
      </c>
      <c r="E152" s="43">
        <v>133500</v>
      </c>
      <c r="F152" s="43">
        <v>78400</v>
      </c>
      <c r="G152" s="43">
        <v>5100</v>
      </c>
      <c r="H152" s="43">
        <v>8500</v>
      </c>
      <c r="I152" s="43">
        <v>5100</v>
      </c>
      <c r="J152" s="43">
        <v>25600</v>
      </c>
      <c r="K152" s="43">
        <v>26600</v>
      </c>
      <c r="L152" s="43">
        <v>68200</v>
      </c>
    </row>
    <row r="153" spans="2:16">
      <c r="B153" s="40">
        <v>44286</v>
      </c>
      <c r="C153" s="43" t="str">
        <v>2021Q1</v>
      </c>
      <c r="D153" s="43">
        <v>212200</v>
      </c>
      <c r="E153" s="43">
        <v>126400</v>
      </c>
      <c r="F153" s="43">
        <v>21400</v>
      </c>
      <c r="G153" s="43">
        <v>4400</v>
      </c>
      <c r="H153" s="43">
        <v>6500</v>
      </c>
      <c r="I153" s="43">
        <v>120</v>
      </c>
      <c r="J153" s="43">
        <v>14200</v>
      </c>
      <c r="K153" s="43">
        <v>12880</v>
      </c>
      <c r="L153" s="43">
        <v>26300</v>
      </c>
    </row>
    <row r="154" spans="2:16">
      <c r="B154" s="40">
        <v>44377</v>
      </c>
      <c r="C154" s="43" t="str">
        <v>2021Q2</v>
      </c>
      <c r="D154" s="43">
        <v>252700</v>
      </c>
      <c r="E154" s="43">
        <v>130500</v>
      </c>
      <c r="F154" s="43">
        <v>34200</v>
      </c>
      <c r="G154" s="43">
        <v>5200</v>
      </c>
      <c r="H154" s="43">
        <v>7100</v>
      </c>
      <c r="I154" s="43">
        <v>850</v>
      </c>
      <c r="J154" s="43">
        <v>22400</v>
      </c>
      <c r="K154" s="43">
        <v>19850</v>
      </c>
      <c r="L154" s="43">
        <v>32600</v>
      </c>
    </row>
    <row r="155" spans="2:16">
      <c r="B155" s="40">
        <v>44469</v>
      </c>
      <c r="C155" s="43" t="str">
        <v>2021Q3</v>
      </c>
      <c r="D155" s="43">
        <v>236700</v>
      </c>
      <c r="E155" s="43">
        <v>127100</v>
      </c>
      <c r="F155" s="43">
        <v>30500</v>
      </c>
      <c r="G155" s="43">
        <v>4800</v>
      </c>
      <c r="H155" s="43">
        <v>8200</v>
      </c>
      <c r="I155" s="43">
        <v>600</v>
      </c>
      <c r="J155" s="43">
        <v>19300</v>
      </c>
      <c r="K155" s="43">
        <v>15600</v>
      </c>
      <c r="L155" s="43">
        <v>30600</v>
      </c>
    </row>
    <row r="156" spans="2:16">
      <c r="B156" s="40">
        <v>44561</v>
      </c>
      <c r="C156" s="43" t="str">
        <v>2021Q4</v>
      </c>
      <c r="D156" s="43">
        <v>338100</v>
      </c>
      <c r="E156" s="43">
        <v>138400</v>
      </c>
      <c r="F156" s="43">
        <v>68400</v>
      </c>
      <c r="G156" s="43">
        <v>6500</v>
      </c>
      <c r="H156" s="43">
        <v>10200</v>
      </c>
      <c r="I156" s="43">
        <v>3500</v>
      </c>
      <c r="J156" s="43">
        <v>26500</v>
      </c>
      <c r="K156" s="43">
        <v>23600</v>
      </c>
      <c r="L156" s="43">
        <v>61000</v>
      </c>
    </row>
    <row r="157" spans="2:16">
      <c r="B157" s="40">
        <v>44651</v>
      </c>
      <c r="C157" s="43" t="str">
        <v>2022Q1</v>
      </c>
      <c r="D157" s="43">
        <v>220470</v>
      </c>
      <c r="E157" s="43">
        <v>125500</v>
      </c>
      <c r="F157" s="43">
        <v>25400</v>
      </c>
      <c r="G157" s="43">
        <v>4100</v>
      </c>
      <c r="H157" s="43">
        <v>5800</v>
      </c>
      <c r="I157" s="43">
        <v>50</v>
      </c>
      <c r="J157" s="43">
        <v>14200</v>
      </c>
      <c r="K157" s="43">
        <v>7450</v>
      </c>
      <c r="L157" s="43">
        <v>37970</v>
      </c>
    </row>
    <row r="158" spans="2:16">
      <c r="B158" s="40">
        <v>44742</v>
      </c>
      <c r="C158" s="43" t="str">
        <v>2022Q2</v>
      </c>
      <c r="D158" s="43">
        <v>292460</v>
      </c>
      <c r="E158" s="43">
        <v>132100</v>
      </c>
      <c r="F158" s="43">
        <v>54200</v>
      </c>
      <c r="G158" s="43">
        <v>6400</v>
      </c>
      <c r="H158" s="43">
        <v>9400</v>
      </c>
      <c r="I158" s="43">
        <v>1900</v>
      </c>
      <c r="J158" s="43">
        <v>21500</v>
      </c>
      <c r="K158" s="43">
        <v>19060</v>
      </c>
      <c r="L158" s="43">
        <v>47900</v>
      </c>
    </row>
    <row r="159" spans="2:16">
      <c r="B159" s="40">
        <v>44834</v>
      </c>
      <c r="C159" s="43" t="str">
        <v>2022Q3</v>
      </c>
      <c r="D159" s="43">
        <v>287720</v>
      </c>
      <c r="E159" s="43">
        <v>130400</v>
      </c>
      <c r="F159" s="43">
        <v>48600</v>
      </c>
      <c r="G159" s="43">
        <v>6100</v>
      </c>
      <c r="H159" s="43">
        <v>11200</v>
      </c>
      <c r="I159" s="43">
        <v>150</v>
      </c>
      <c r="J159" s="43">
        <v>18400</v>
      </c>
      <c r="K159" s="43">
        <v>20770</v>
      </c>
      <c r="L159" s="43">
        <v>52100</v>
      </c>
    </row>
    <row r="160" spans="2:16">
      <c r="B160" s="40">
        <v>44926</v>
      </c>
      <c r="C160" s="43" t="str">
        <v>2022Q4</v>
      </c>
      <c r="D160" s="43">
        <v>363700</v>
      </c>
      <c r="E160" s="43">
        <v>140500</v>
      </c>
      <c r="F160" s="43">
        <v>85200</v>
      </c>
      <c r="G160" s="43">
        <v>8100</v>
      </c>
      <c r="H160" s="43">
        <v>14500</v>
      </c>
      <c r="I160" s="43">
        <v>5300</v>
      </c>
      <c r="J160" s="43">
        <v>24600</v>
      </c>
      <c r="K160" s="43">
        <v>12900</v>
      </c>
      <c r="L160" s="43">
        <v>72600</v>
      </c>
    </row>
    <row r="161" spans="2:12">
      <c r="B161" s="40">
        <v>45016</v>
      </c>
      <c r="C161" s="43" t="str">
        <v>2023Q1</v>
      </c>
      <c r="D161" s="43">
        <v>283860</v>
      </c>
      <c r="E161" s="43">
        <v>134200</v>
      </c>
      <c r="F161" s="43">
        <v>56400</v>
      </c>
      <c r="G161" s="43">
        <v>6400</v>
      </c>
      <c r="H161" s="43">
        <v>8100</v>
      </c>
      <c r="I161" s="43">
        <v>504</v>
      </c>
      <c r="J161" s="43">
        <v>22100</v>
      </c>
      <c r="K161" s="43">
        <v>30056</v>
      </c>
      <c r="L161" s="43">
        <v>26100</v>
      </c>
    </row>
    <row r="162" spans="2:12">
      <c r="B162" s="40">
        <v>45107</v>
      </c>
      <c r="C162" s="43" t="str">
        <v>2023Q2</v>
      </c>
      <c r="D162" s="43">
        <v>320100</v>
      </c>
      <c r="E162" s="43">
        <v>137400</v>
      </c>
      <c r="F162" s="43">
        <v>60200</v>
      </c>
      <c r="G162" s="43">
        <v>7200</v>
      </c>
      <c r="H162" s="43">
        <v>9400</v>
      </c>
      <c r="I162" s="43">
        <v>2734</v>
      </c>
      <c r="J162" s="43">
        <v>24300</v>
      </c>
      <c r="K162" s="43">
        <v>32766</v>
      </c>
      <c r="L162" s="43">
        <v>46100</v>
      </c>
    </row>
    <row r="163" spans="2:12">
      <c r="B163" s="40">
        <v>45199</v>
      </c>
      <c r="C163" s="43" t="str">
        <v>2023Q3</v>
      </c>
      <c r="D163" s="43">
        <v>294330</v>
      </c>
      <c r="E163" s="43">
        <v>133500</v>
      </c>
      <c r="F163" s="43">
        <v>48100</v>
      </c>
      <c r="G163" s="43">
        <v>7000</v>
      </c>
      <c r="H163" s="43">
        <v>12300</v>
      </c>
      <c r="I163" s="43">
        <v>1098</v>
      </c>
      <c r="J163" s="43">
        <v>21500</v>
      </c>
      <c r="K163" s="43">
        <v>19532</v>
      </c>
      <c r="L163" s="43">
        <v>51300</v>
      </c>
    </row>
    <row r="164" spans="2:12">
      <c r="B164" s="40">
        <v>45291</v>
      </c>
      <c r="C164" s="43" t="str">
        <v>2023Q4</v>
      </c>
      <c r="D164" s="43">
        <v>394950</v>
      </c>
      <c r="E164" s="43">
        <v>151200</v>
      </c>
      <c r="F164" s="43">
        <v>112400</v>
      </c>
      <c r="G164" s="43">
        <v>9800</v>
      </c>
      <c r="H164" s="43">
        <v>11400</v>
      </c>
      <c r="I164" s="43">
        <v>2456</v>
      </c>
      <c r="J164" s="43">
        <v>27450</v>
      </c>
      <c r="K164" s="43">
        <v>17244</v>
      </c>
      <c r="L164" s="43">
        <v>63000</v>
      </c>
    </row>
    <row r="165" spans="2:12">
      <c r="B165" s="40">
        <v>45382</v>
      </c>
      <c r="C165" s="43" t="str">
        <v>2024Q1</v>
      </c>
      <c r="D165" s="43">
        <v>305820</v>
      </c>
      <c r="E165" s="43">
        <v>137503</v>
      </c>
      <c r="F165" s="43">
        <v>60704</v>
      </c>
      <c r="G165" s="43">
        <v>10069</v>
      </c>
      <c r="H165" s="43">
        <v>8329</v>
      </c>
      <c r="I165" s="43">
        <v>315</v>
      </c>
      <c r="J165" s="43">
        <v>23847</v>
      </c>
      <c r="K165" s="43">
        <v>30550</v>
      </c>
      <c r="L165" s="43">
        <v>34503</v>
      </c>
    </row>
    <row r="166" spans="2:12">
      <c r="B166" s="40">
        <v>45473</v>
      </c>
      <c r="C166" s="43" t="str">
        <v>2024Q2</v>
      </c>
      <c r="D166" s="43">
        <v>368930</v>
      </c>
      <c r="E166" s="43">
        <v>139845</v>
      </c>
      <c r="F166" s="43">
        <v>75561</v>
      </c>
      <c r="G166" s="43">
        <v>10784</v>
      </c>
      <c r="H166" s="43">
        <v>12977</v>
      </c>
      <c r="I166" s="43">
        <v>1380</v>
      </c>
      <c r="J166" s="43">
        <v>39209</v>
      </c>
      <c r="K166" s="43">
        <v>24217</v>
      </c>
      <c r="L166" s="43">
        <v>64957</v>
      </c>
    </row>
    <row r="167" spans="2:12">
      <c r="B167" s="40">
        <v>45565</v>
      </c>
      <c r="C167" s="43" t="str">
        <v>2024Q3</v>
      </c>
      <c r="D167" s="43">
        <v>339440</v>
      </c>
      <c r="E167" s="43">
        <v>138627</v>
      </c>
      <c r="F167" s="43">
        <v>82694</v>
      </c>
      <c r="G167" s="43">
        <v>11965</v>
      </c>
      <c r="H167" s="43">
        <v>7438</v>
      </c>
      <c r="I167" s="43">
        <v>729</v>
      </c>
      <c r="J167" s="43">
        <v>21130</v>
      </c>
      <c r="K167" s="43">
        <v>28707</v>
      </c>
      <c r="L167" s="43">
        <v>48150</v>
      </c>
    </row>
    <row r="168" spans="2:12">
      <c r="B168" s="40">
        <v>45657</v>
      </c>
      <c r="C168" s="43" t="str">
        <v>2024Q4</v>
      </c>
      <c r="D168" s="43">
        <v>360520</v>
      </c>
      <c r="E168" s="43">
        <v>146289</v>
      </c>
      <c r="F168" s="43">
        <v>94064</v>
      </c>
      <c r="G168" s="43">
        <v>11746</v>
      </c>
      <c r="H168" s="43">
        <v>5267</v>
      </c>
      <c r="I168" s="43">
        <v>1782</v>
      </c>
      <c r="J168" s="43">
        <v>17213</v>
      </c>
      <c r="K168" s="43">
        <v>41105</v>
      </c>
      <c r="L168" s="43">
        <v>43054</v>
      </c>
    </row>
    <row r="169" spans="2:12">
      <c r="B169" s="40">
        <v>45747</v>
      </c>
      <c r="C169" s="43" t="str">
        <v>2025Q1</v>
      </c>
      <c r="D169" s="43">
        <v>322317</v>
      </c>
      <c r="E169" s="43">
        <v>83974.114076019992</v>
      </c>
      <c r="F169" s="43">
        <v>15211.479636010001</v>
      </c>
      <c r="G169" s="43">
        <v>13787.088842540001</v>
      </c>
      <c r="H169" s="43">
        <v>319.42947220999986</v>
      </c>
      <c r="I169" s="43">
        <v>16551.240588019995</v>
      </c>
      <c r="J169" s="43">
        <v>35075.618675319995</v>
      </c>
      <c r="K169" s="43">
        <v>49912.504107230008</v>
      </c>
      <c r="L169" s="43">
        <v>50905.632054339978</v>
      </c>
    </row>
    <row r="170" spans="2:12">
      <c r="B170" s="40">
        <v>45838</v>
      </c>
      <c r="C170" s="43" t="str">
        <v>2025Q2</v>
      </c>
      <c r="D170" s="43">
        <v>336129</v>
      </c>
      <c r="E170" s="43">
        <v>73580.489624349997</v>
      </c>
      <c r="F170" s="43">
        <v>11940.639316690002</v>
      </c>
      <c r="G170" s="43">
        <v>7688.0948017700002</v>
      </c>
      <c r="H170" s="43">
        <v>414.8884799600001</v>
      </c>
      <c r="I170" s="43">
        <v>39167.642700590004</v>
      </c>
      <c r="J170" s="43">
        <v>23025.798986159993</v>
      </c>
      <c r="K170" s="43">
        <v>39909.473640320008</v>
      </c>
      <c r="L170" s="43">
        <v>49912.504107230008</v>
      </c>
    </row>
    <row r="171" spans="2:12">
      <c r="B171" s="40">
        <v>45930</v>
      </c>
      <c r="C171" s="43" t="str">
        <v>2025Q3</v>
      </c>
      <c r="D171" s="43">
        <v>358397</v>
      </c>
      <c r="E171" s="43">
        <v>64633.209316070002</v>
      </c>
      <c r="F171" s="43">
        <v>12387.83277542</v>
      </c>
      <c r="G171" s="43">
        <v>6492.3326608199995</v>
      </c>
      <c r="H171" s="43">
        <v>273.78199999999998</v>
      </c>
      <c r="I171" s="43">
        <v>30474.009797269999</v>
      </c>
      <c r="J171" s="43">
        <v>34180.298066390002</v>
      </c>
      <c r="K171" s="43">
        <v>27785.7050528</v>
      </c>
      <c r="L171" s="43">
        <v>39909.473640320008</v>
      </c>
    </row>
    <row r="172" spans="2:12">
      <c r="B172" s="40">
        <v>46022</v>
      </c>
      <c r="C172" s="43">
        <v>0</v>
      </c>
      <c r="D172" s="43">
        <v>371589.12513351016</v>
      </c>
      <c r="E172" s="43">
        <v>94156.569556760049</v>
      </c>
      <c r="F172" s="43">
        <v>14933.627058899998</v>
      </c>
      <c r="G172" s="43">
        <v>7941.5471296299984</v>
      </c>
      <c r="H172" s="43">
        <v>4177.3360149199998</v>
      </c>
      <c r="I172" s="43">
        <v>13130.763142570009</v>
      </c>
      <c r="J172" s="43">
        <v>41874.100595600015</v>
      </c>
      <c r="K172" s="43">
        <v>50905.632054339978</v>
      </c>
      <c r="L172" s="43">
        <v>27785.7050528</v>
      </c>
    </row>
    <row r="173" spans="2:12">
      <c r="B173" s="40">
        <v>46112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28086.514672704441</v>
      </c>
    </row>
    <row r="174" spans="2:12">
      <c r="B174" s="40">
        <v>46203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</row>
    <row r="175" spans="2:12">
      <c r="B175" s="40">
        <v>46295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</row>
    <row r="176" spans="2:12">
      <c r="B176" s="40">
        <v>46387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</row>
    <row r="178" spans="2:4">
      <c r="B178" s="42" t="s">
        <v>56</v>
      </c>
    </row>
    <row r="179" spans="2:4">
      <c r="B179" s="40" t="s">
        <v>0</v>
      </c>
      <c r="C179" s="43" t="s">
        <v>57</v>
      </c>
      <c r="D179" s="43" t="s">
        <v>27</v>
      </c>
    </row>
    <row r="180" spans="2:4">
      <c r="B180" s="40">
        <v>42825</v>
      </c>
      <c r="C180" s="43" t="s">
        <v>58</v>
      </c>
      <c r="D180" s="43">
        <f>D95-D137</f>
        <v>-26200</v>
      </c>
    </row>
    <row r="181" spans="2:4">
      <c r="B181" s="40">
        <v>42916</v>
      </c>
      <c r="C181" s="43" t="s">
        <v>59</v>
      </c>
      <c r="D181" s="43">
        <f t="shared" ref="D181:D215" si="0">D96-D138</f>
        <v>-46500</v>
      </c>
    </row>
    <row r="182" spans="2:4">
      <c r="B182" s="40">
        <v>43008</v>
      </c>
      <c r="C182" s="43" t="s">
        <v>60</v>
      </c>
      <c r="D182" s="43">
        <f t="shared" si="0"/>
        <v>-48800</v>
      </c>
    </row>
    <row r="183" spans="2:4">
      <c r="B183" s="40">
        <v>43100</v>
      </c>
      <c r="C183" s="43" t="s">
        <v>61</v>
      </c>
      <c r="D183" s="43">
        <f t="shared" si="0"/>
        <v>-114900</v>
      </c>
    </row>
    <row r="184" spans="2:4">
      <c r="B184" s="40">
        <v>43190</v>
      </c>
      <c r="C184" s="43" t="s">
        <v>62</v>
      </c>
      <c r="D184" s="43">
        <f t="shared" si="0"/>
        <v>-34300</v>
      </c>
    </row>
    <row r="185" spans="2:4">
      <c r="B185" s="40">
        <v>43281</v>
      </c>
      <c r="C185" s="43" t="s">
        <v>63</v>
      </c>
      <c r="D185" s="43">
        <f t="shared" si="0"/>
        <v>-7400</v>
      </c>
    </row>
    <row r="186" spans="2:4">
      <c r="B186" s="40">
        <v>43373</v>
      </c>
      <c r="C186" s="43" t="s">
        <v>64</v>
      </c>
      <c r="D186" s="43">
        <f t="shared" si="0"/>
        <v>-7200</v>
      </c>
    </row>
    <row r="187" spans="2:4">
      <c r="B187" s="40">
        <v>43465</v>
      </c>
      <c r="C187" s="43" t="s">
        <v>65</v>
      </c>
      <c r="D187" s="43">
        <f t="shared" si="0"/>
        <v>-66000</v>
      </c>
    </row>
    <row r="188" spans="2:4">
      <c r="B188" s="40">
        <v>43555</v>
      </c>
      <c r="C188" s="43" t="s">
        <v>66</v>
      </c>
      <c r="D188" s="43">
        <f t="shared" si="0"/>
        <v>27800</v>
      </c>
    </row>
    <row r="189" spans="2:4">
      <c r="B189" s="40">
        <v>43646</v>
      </c>
      <c r="C189" s="43" t="s">
        <v>67</v>
      </c>
      <c r="D189" s="43">
        <f t="shared" si="0"/>
        <v>-6500</v>
      </c>
    </row>
    <row r="190" spans="2:4">
      <c r="B190" s="40">
        <v>43738</v>
      </c>
      <c r="C190" s="43" t="s">
        <v>68</v>
      </c>
      <c r="D190" s="43">
        <f t="shared" si="0"/>
        <v>-32100</v>
      </c>
    </row>
    <row r="191" spans="2:4">
      <c r="B191" s="40">
        <v>43830</v>
      </c>
      <c r="C191" s="43" t="s">
        <v>69</v>
      </c>
      <c r="D191" s="43">
        <f t="shared" si="0"/>
        <v>-132300</v>
      </c>
    </row>
    <row r="192" spans="2:4">
      <c r="B192" s="40">
        <v>43921</v>
      </c>
      <c r="C192" s="43" t="s">
        <v>70</v>
      </c>
      <c r="D192" s="43">
        <f t="shared" si="0"/>
        <v>-34100</v>
      </c>
    </row>
    <row r="193" spans="2:4">
      <c r="B193" s="40">
        <v>44012</v>
      </c>
      <c r="C193" s="43" t="s">
        <v>71</v>
      </c>
      <c r="D193" s="43">
        <f t="shared" si="0"/>
        <v>-109100</v>
      </c>
    </row>
    <row r="194" spans="2:4">
      <c r="B194" s="40">
        <v>44104</v>
      </c>
      <c r="C194" s="43" t="s">
        <v>72</v>
      </c>
      <c r="D194" s="43">
        <f t="shared" si="0"/>
        <v>-40700</v>
      </c>
    </row>
    <row r="195" spans="2:4">
      <c r="B195" s="40">
        <v>44196</v>
      </c>
      <c r="C195" s="43" t="s">
        <v>73</v>
      </c>
      <c r="D195" s="43">
        <f t="shared" si="0"/>
        <v>-110800</v>
      </c>
    </row>
    <row r="196" spans="2:4">
      <c r="B196" s="40">
        <v>44286</v>
      </c>
      <c r="C196" s="43" t="s">
        <v>74</v>
      </c>
      <c r="D196" s="43">
        <f t="shared" si="0"/>
        <v>-7400</v>
      </c>
    </row>
    <row r="197" spans="2:4">
      <c r="B197" s="40">
        <v>44377</v>
      </c>
      <c r="C197" s="43" t="s">
        <v>75</v>
      </c>
      <c r="D197" s="43">
        <f t="shared" si="0"/>
        <v>-4600</v>
      </c>
    </row>
    <row r="198" spans="2:4">
      <c r="B198" s="40">
        <v>44469</v>
      </c>
      <c r="C198" s="43" t="s">
        <v>76</v>
      </c>
      <c r="D198" s="43">
        <f t="shared" si="0"/>
        <v>6700</v>
      </c>
    </row>
    <row r="199" spans="2:4">
      <c r="B199" s="40">
        <v>44561</v>
      </c>
      <c r="C199" s="43" t="s">
        <v>77</v>
      </c>
      <c r="D199" s="43">
        <f t="shared" si="0"/>
        <v>-68000</v>
      </c>
    </row>
    <row r="200" spans="2:4">
      <c r="B200" s="40">
        <v>44651</v>
      </c>
      <c r="C200" s="43" t="s">
        <v>78</v>
      </c>
      <c r="D200" s="43">
        <f t="shared" si="0"/>
        <v>57490</v>
      </c>
    </row>
    <row r="201" spans="2:4">
      <c r="B201" s="40">
        <v>44742</v>
      </c>
      <c r="C201" s="43" t="s">
        <v>79</v>
      </c>
      <c r="D201" s="43">
        <f t="shared" si="0"/>
        <v>77910</v>
      </c>
    </row>
    <row r="202" spans="2:4">
      <c r="B202" s="40">
        <v>44834</v>
      </c>
      <c r="C202" s="43" t="s">
        <v>80</v>
      </c>
      <c r="D202" s="43">
        <f t="shared" si="0"/>
        <v>14150</v>
      </c>
    </row>
    <row r="203" spans="2:4">
      <c r="B203" s="40">
        <v>44926</v>
      </c>
      <c r="C203" s="43" t="s">
        <v>81</v>
      </c>
      <c r="D203" s="43">
        <f t="shared" si="0"/>
        <v>-45700</v>
      </c>
    </row>
    <row r="204" spans="2:4">
      <c r="B204" s="40">
        <v>45016</v>
      </c>
      <c r="C204" s="43" t="s">
        <v>82</v>
      </c>
      <c r="D204" s="43">
        <f t="shared" si="0"/>
        <v>-2920</v>
      </c>
    </row>
    <row r="205" spans="2:4">
      <c r="B205" s="40">
        <v>45107</v>
      </c>
      <c r="C205" s="43" t="s">
        <v>83</v>
      </c>
      <c r="D205" s="43">
        <f t="shared" si="0"/>
        <v>-5280</v>
      </c>
    </row>
    <row r="206" spans="2:4">
      <c r="B206" s="40">
        <v>45199</v>
      </c>
      <c r="C206" s="43" t="s">
        <v>84</v>
      </c>
      <c r="D206" s="43">
        <f t="shared" si="0"/>
        <v>-35790</v>
      </c>
    </row>
    <row r="207" spans="2:4">
      <c r="B207" s="40">
        <v>45291</v>
      </c>
      <c r="C207" s="43" t="s">
        <v>85</v>
      </c>
      <c r="D207" s="43">
        <f t="shared" si="0"/>
        <v>-36970</v>
      </c>
    </row>
    <row r="208" spans="2:4">
      <c r="B208" s="40">
        <v>45382</v>
      </c>
      <c r="C208" s="43" t="s">
        <v>86</v>
      </c>
      <c r="D208" s="43">
        <f t="shared" si="0"/>
        <v>-12390</v>
      </c>
    </row>
    <row r="209" spans="2:7">
      <c r="B209" s="40">
        <v>45473</v>
      </c>
      <c r="C209" s="43" t="s">
        <v>87</v>
      </c>
      <c r="D209" s="43">
        <f t="shared" si="0"/>
        <v>-15340</v>
      </c>
    </row>
    <row r="210" spans="2:7">
      <c r="B210" s="40">
        <v>45565</v>
      </c>
      <c r="C210" s="43" t="s">
        <v>88</v>
      </c>
      <c r="D210" s="43">
        <f t="shared" si="0"/>
        <v>-30230</v>
      </c>
    </row>
    <row r="211" spans="2:7">
      <c r="B211" s="40">
        <v>45657</v>
      </c>
      <c r="C211" s="43" t="s">
        <v>89</v>
      </c>
      <c r="D211" s="43">
        <f t="shared" si="0"/>
        <v>-57660</v>
      </c>
    </row>
    <row r="212" spans="2:7">
      <c r="B212" s="40">
        <v>45747</v>
      </c>
      <c r="C212" s="43" t="s">
        <v>90</v>
      </c>
      <c r="D212" s="43">
        <f t="shared" si="0"/>
        <v>-58717</v>
      </c>
    </row>
    <row r="213" spans="2:7">
      <c r="B213" s="40">
        <v>45838</v>
      </c>
      <c r="C213" s="43" t="s">
        <v>91</v>
      </c>
      <c r="D213" s="43">
        <f t="shared" si="0"/>
        <v>-34529</v>
      </c>
    </row>
    <row r="214" spans="2:7">
      <c r="B214" s="40">
        <v>45930</v>
      </c>
      <c r="C214" s="43" t="s">
        <v>92</v>
      </c>
      <c r="D214" s="43">
        <f t="shared" si="0"/>
        <v>-88497</v>
      </c>
    </row>
    <row r="215" spans="2:7">
      <c r="B215" s="40">
        <v>46022</v>
      </c>
      <c r="C215" s="43" t="s">
        <v>93</v>
      </c>
      <c r="D215" s="43">
        <f t="shared" si="0"/>
        <v>-22689.125133510155</v>
      </c>
    </row>
    <row r="221" spans="2:7">
      <c r="B221" s="42" t="s">
        <v>100</v>
      </c>
    </row>
    <row r="222" spans="2:7">
      <c r="B222" s="40" t="str" cm="1">
        <f t="array" ref="B222:G258">International_Trade[#All]</f>
        <v>Date</v>
      </c>
      <c r="C222" s="43" t="str">
        <v>Quarter</v>
      </c>
      <c r="D222" s="43" t="str">
        <v>Exports</v>
      </c>
      <c r="E222" s="43" t="str">
        <v>Imports</v>
      </c>
      <c r="F222" s="43" t="str">
        <v>Trade Volume</v>
      </c>
      <c r="G222" s="43" t="str">
        <v>Trade Balance</v>
      </c>
    </row>
    <row r="223" spans="2:7">
      <c r="B223" s="40">
        <v>42825</v>
      </c>
      <c r="C223" s="43" t="str">
        <v>2017Q1</v>
      </c>
      <c r="D223" s="43">
        <v>207374</v>
      </c>
      <c r="E223" s="43">
        <v>125720</v>
      </c>
      <c r="F223" s="43">
        <v>333094</v>
      </c>
      <c r="G223" s="43">
        <v>81653</v>
      </c>
    </row>
    <row r="224" spans="2:7">
      <c r="B224" s="40">
        <v>42916</v>
      </c>
      <c r="C224" s="43" t="str">
        <v>2017Q2</v>
      </c>
      <c r="D224" s="43">
        <v>189728</v>
      </c>
      <c r="E224" s="43">
        <v>126710</v>
      </c>
      <c r="F224" s="43">
        <v>316439</v>
      </c>
      <c r="G224" s="43">
        <v>63018</v>
      </c>
    </row>
    <row r="225" spans="2:7">
      <c r="B225" s="40">
        <v>43008</v>
      </c>
      <c r="C225" s="43" t="str">
        <v>2017Q3</v>
      </c>
      <c r="D225" s="43">
        <v>196288</v>
      </c>
      <c r="E225" s="43">
        <v>123854</v>
      </c>
      <c r="F225" s="43">
        <v>320142</v>
      </c>
      <c r="G225" s="43">
        <v>72435</v>
      </c>
    </row>
    <row r="226" spans="2:7">
      <c r="B226" s="40">
        <v>43100</v>
      </c>
      <c r="C226" s="43" t="str">
        <v>2017Q4</v>
      </c>
      <c r="D226" s="43">
        <v>238491</v>
      </c>
      <c r="E226" s="43">
        <v>128162</v>
      </c>
      <c r="F226" s="43">
        <v>366653</v>
      </c>
      <c r="G226" s="43">
        <v>110328</v>
      </c>
    </row>
    <row r="227" spans="2:7">
      <c r="B227" s="40">
        <v>43190</v>
      </c>
      <c r="C227" s="43" t="str">
        <v>2018Q1</v>
      </c>
      <c r="D227" s="43">
        <v>244235</v>
      </c>
      <c r="E227" s="43">
        <v>126056</v>
      </c>
      <c r="F227" s="43">
        <v>370291</v>
      </c>
      <c r="G227" s="43">
        <v>118179</v>
      </c>
    </row>
    <row r="228" spans="2:7">
      <c r="B228" s="40">
        <v>43281</v>
      </c>
      <c r="C228" s="43" t="str">
        <v>2018Q2</v>
      </c>
      <c r="D228" s="43">
        <v>281094</v>
      </c>
      <c r="E228" s="43">
        <v>133020</v>
      </c>
      <c r="F228" s="43">
        <v>414114</v>
      </c>
      <c r="G228" s="43">
        <v>148074</v>
      </c>
    </row>
    <row r="229" spans="2:7">
      <c r="B229" s="40">
        <v>43373</v>
      </c>
      <c r="C229" s="43" t="str">
        <v>2018Q3</v>
      </c>
      <c r="D229" s="43">
        <v>288432</v>
      </c>
      <c r="E229" s="43">
        <v>128021</v>
      </c>
      <c r="F229" s="43">
        <v>416453</v>
      </c>
      <c r="G229" s="43">
        <v>160410</v>
      </c>
    </row>
    <row r="230" spans="2:7">
      <c r="B230" s="40">
        <v>43465</v>
      </c>
      <c r="C230" s="43" t="str">
        <v>2018Q4</v>
      </c>
      <c r="D230" s="43">
        <v>290140</v>
      </c>
      <c r="E230" s="43">
        <v>126896</v>
      </c>
      <c r="F230" s="43">
        <v>417036</v>
      </c>
      <c r="G230" s="43">
        <v>163244</v>
      </c>
    </row>
    <row r="231" spans="2:7">
      <c r="B231" s="40">
        <v>43555</v>
      </c>
      <c r="C231" s="43" t="str">
        <v>2019Q1</v>
      </c>
      <c r="D231" s="43">
        <v>249087</v>
      </c>
      <c r="E231" s="43">
        <v>132192</v>
      </c>
      <c r="F231" s="43">
        <v>381279</v>
      </c>
      <c r="G231" s="43">
        <v>116895</v>
      </c>
    </row>
    <row r="232" spans="2:7">
      <c r="B232" s="40">
        <v>43646</v>
      </c>
      <c r="C232" s="43" t="str">
        <v>2019Q2</v>
      </c>
      <c r="D232" s="43">
        <v>252617</v>
      </c>
      <c r="E232" s="43">
        <v>151819</v>
      </c>
      <c r="F232" s="43">
        <v>404436</v>
      </c>
      <c r="G232" s="43">
        <v>100798</v>
      </c>
    </row>
    <row r="233" spans="2:7">
      <c r="B233" s="40">
        <v>43738</v>
      </c>
      <c r="C233" s="43" t="str">
        <v>2019Q3</v>
      </c>
      <c r="D233" s="43">
        <v>235874</v>
      </c>
      <c r="E233" s="43">
        <v>145451</v>
      </c>
      <c r="F233" s="43">
        <v>381325</v>
      </c>
      <c r="G233" s="43">
        <v>90422</v>
      </c>
    </row>
    <row r="234" spans="2:7">
      <c r="B234" s="40">
        <v>43830</v>
      </c>
      <c r="C234" s="43" t="str">
        <v>2019Q4</v>
      </c>
      <c r="D234" s="43">
        <v>243434</v>
      </c>
      <c r="E234" s="43">
        <v>144900</v>
      </c>
      <c r="F234" s="43">
        <v>388334</v>
      </c>
      <c r="G234" s="43">
        <v>98535</v>
      </c>
    </row>
    <row r="235" spans="2:7">
      <c r="B235" s="40">
        <v>43921</v>
      </c>
      <c r="C235" s="43" t="str">
        <v>2020Q1</v>
      </c>
      <c r="D235" s="43">
        <v>191673</v>
      </c>
      <c r="E235" s="43">
        <v>132381</v>
      </c>
      <c r="F235" s="43">
        <v>324054</v>
      </c>
      <c r="G235" s="43">
        <v>59292</v>
      </c>
    </row>
    <row r="236" spans="2:7">
      <c r="B236" s="40">
        <v>44012</v>
      </c>
      <c r="C236" s="43" t="str">
        <v>2020Q2</v>
      </c>
      <c r="D236" s="43">
        <v>119656</v>
      </c>
      <c r="E236" s="43">
        <v>124849</v>
      </c>
      <c r="F236" s="43">
        <v>244505</v>
      </c>
      <c r="G236" s="43">
        <v>-5193</v>
      </c>
    </row>
    <row r="237" spans="2:7">
      <c r="B237" s="40">
        <v>44104</v>
      </c>
      <c r="C237" s="43" t="str">
        <v>2020Q3</v>
      </c>
      <c r="D237" s="43">
        <v>160579</v>
      </c>
      <c r="E237" s="43">
        <v>123033</v>
      </c>
      <c r="F237" s="43">
        <v>283612</v>
      </c>
      <c r="G237" s="43">
        <v>37547</v>
      </c>
    </row>
    <row r="238" spans="2:7">
      <c r="B238" s="40">
        <v>44196</v>
      </c>
      <c r="C238" s="43" t="str">
        <v>2020Q4</v>
      </c>
      <c r="D238" s="43">
        <v>180044</v>
      </c>
      <c r="E238" s="43">
        <v>137228</v>
      </c>
      <c r="F238" s="43">
        <v>317272</v>
      </c>
      <c r="G238" s="43">
        <v>42815</v>
      </c>
    </row>
    <row r="239" spans="2:7">
      <c r="B239" s="40">
        <v>44286</v>
      </c>
      <c r="C239" s="43" t="str">
        <v>2021Q1</v>
      </c>
      <c r="D239" s="43">
        <v>208032</v>
      </c>
      <c r="E239" s="43">
        <v>139392</v>
      </c>
      <c r="F239" s="43">
        <v>347424</v>
      </c>
      <c r="G239" s="43">
        <v>68640</v>
      </c>
    </row>
    <row r="240" spans="2:7">
      <c r="B240" s="40">
        <v>44377</v>
      </c>
      <c r="C240" s="43" t="str">
        <v>2021Q2</v>
      </c>
      <c r="D240" s="43">
        <v>232179</v>
      </c>
      <c r="E240" s="43">
        <v>140424</v>
      </c>
      <c r="F240" s="43">
        <v>372602</v>
      </c>
      <c r="G240" s="43">
        <v>91755</v>
      </c>
    </row>
    <row r="241" spans="2:7">
      <c r="B241" s="40">
        <v>44469</v>
      </c>
      <c r="C241" s="43" t="str">
        <v>2021Q3</v>
      </c>
      <c r="D241" s="43">
        <v>273593</v>
      </c>
      <c r="E241" s="43">
        <v>144756</v>
      </c>
      <c r="F241" s="43">
        <v>418350</v>
      </c>
      <c r="G241" s="43">
        <v>128837</v>
      </c>
    </row>
    <row r="242" spans="2:7">
      <c r="B242" s="40">
        <v>44561</v>
      </c>
      <c r="C242" s="43" t="str">
        <v>2021Q4</v>
      </c>
      <c r="D242" s="43">
        <v>321868</v>
      </c>
      <c r="E242" s="43">
        <v>148613</v>
      </c>
      <c r="F242" s="43">
        <v>470481</v>
      </c>
      <c r="G242" s="43">
        <v>173255</v>
      </c>
    </row>
    <row r="243" spans="2:7">
      <c r="B243" s="40">
        <v>44651</v>
      </c>
      <c r="C243" s="43" t="str">
        <v>2022Q1</v>
      </c>
      <c r="D243" s="43">
        <v>367104</v>
      </c>
      <c r="E243" s="43">
        <v>157905</v>
      </c>
      <c r="F243" s="43">
        <v>525008</v>
      </c>
      <c r="G243" s="43">
        <v>209199</v>
      </c>
    </row>
    <row r="244" spans="2:7">
      <c r="B244" s="40">
        <v>44742</v>
      </c>
      <c r="C244" s="43" t="str">
        <v>2022Q2</v>
      </c>
      <c r="D244" s="43">
        <v>427803</v>
      </c>
      <c r="E244" s="43">
        <v>175354</v>
      </c>
      <c r="F244" s="43">
        <v>603158</v>
      </c>
      <c r="G244" s="43">
        <v>252449</v>
      </c>
    </row>
    <row r="245" spans="2:7">
      <c r="B245" s="40">
        <v>44834</v>
      </c>
      <c r="C245" s="43" t="str">
        <v>2022Q3</v>
      </c>
      <c r="D245" s="43">
        <v>399056</v>
      </c>
      <c r="E245" s="43">
        <v>182811</v>
      </c>
      <c r="F245" s="43">
        <v>581867</v>
      </c>
      <c r="G245" s="43">
        <v>216245</v>
      </c>
    </row>
    <row r="246" spans="2:7">
      <c r="B246" s="40">
        <v>44926</v>
      </c>
      <c r="C246" s="43" t="str">
        <v>2022Q4</v>
      </c>
      <c r="D246" s="43">
        <v>347978</v>
      </c>
      <c r="E246" s="43">
        <v>195968</v>
      </c>
      <c r="F246" s="43">
        <v>543946</v>
      </c>
      <c r="G246" s="43">
        <v>152009</v>
      </c>
    </row>
    <row r="247" spans="2:7">
      <c r="B247" s="40">
        <v>45016</v>
      </c>
      <c r="C247" s="43" t="str">
        <v>2023Q1</v>
      </c>
      <c r="D247" s="43">
        <v>309460</v>
      </c>
      <c r="E247" s="43">
        <v>188954</v>
      </c>
      <c r="F247" s="43">
        <v>498414</v>
      </c>
      <c r="G247" s="43">
        <v>120506</v>
      </c>
    </row>
    <row r="248" spans="2:7">
      <c r="B248" s="40">
        <v>45107</v>
      </c>
      <c r="C248" s="43" t="str">
        <v>2023Q2</v>
      </c>
      <c r="D248" s="43">
        <v>295054</v>
      </c>
      <c r="E248" s="43">
        <v>190355</v>
      </c>
      <c r="F248" s="43">
        <v>485409</v>
      </c>
      <c r="G248" s="43">
        <v>104699</v>
      </c>
    </row>
    <row r="249" spans="2:7">
      <c r="B249" s="40">
        <v>45199</v>
      </c>
      <c r="C249" s="43" t="str">
        <v>2023Q3</v>
      </c>
      <c r="D249" s="43">
        <v>299616</v>
      </c>
      <c r="E249" s="43">
        <v>194986</v>
      </c>
      <c r="F249" s="43">
        <v>494602</v>
      </c>
      <c r="G249" s="43">
        <v>104630</v>
      </c>
    </row>
    <row r="250" spans="2:7">
      <c r="B250" s="40">
        <v>45291</v>
      </c>
      <c r="C250" s="43" t="str">
        <v>2023Q4</v>
      </c>
      <c r="D250" s="43">
        <v>295939</v>
      </c>
      <c r="E250" s="43">
        <v>201730</v>
      </c>
      <c r="F250" s="43">
        <v>497669</v>
      </c>
      <c r="G250" s="43">
        <v>94210</v>
      </c>
    </row>
    <row r="251" spans="2:7">
      <c r="B251" s="40">
        <v>45382</v>
      </c>
      <c r="C251" s="43" t="str">
        <v>2024Q1</v>
      </c>
      <c r="D251" s="43">
        <v>295164</v>
      </c>
      <c r="E251" s="43">
        <v>207615</v>
      </c>
      <c r="F251" s="43">
        <v>502779</v>
      </c>
      <c r="G251" s="43">
        <v>87549</v>
      </c>
    </row>
    <row r="252" spans="2:7">
      <c r="B252" s="40">
        <v>45473</v>
      </c>
      <c r="C252" s="43" t="str">
        <v>2024Q2</v>
      </c>
      <c r="D252" s="43">
        <v>295410</v>
      </c>
      <c r="E252" s="43">
        <v>208297</v>
      </c>
      <c r="F252" s="43">
        <v>503707</v>
      </c>
      <c r="G252" s="43">
        <v>87113</v>
      </c>
    </row>
    <row r="253" spans="2:7">
      <c r="B253" s="40">
        <v>45565</v>
      </c>
      <c r="C253" s="43" t="str">
        <v>2024Q3</v>
      </c>
      <c r="D253" s="43">
        <v>276958</v>
      </c>
      <c r="E253" s="43">
        <v>220539</v>
      </c>
      <c r="F253" s="43">
        <v>497496</v>
      </c>
      <c r="G253" s="43">
        <v>56419</v>
      </c>
    </row>
    <row r="254" spans="2:7">
      <c r="B254" s="40">
        <v>45657</v>
      </c>
      <c r="C254" s="43" t="str">
        <v>2024Q4</v>
      </c>
      <c r="D254" s="43">
        <v>278091</v>
      </c>
      <c r="E254" s="43">
        <v>236573</v>
      </c>
      <c r="F254" s="43">
        <v>514664</v>
      </c>
      <c r="G254" s="43">
        <v>41518</v>
      </c>
    </row>
    <row r="255" spans="2:7">
      <c r="B255" s="40">
        <v>45747</v>
      </c>
      <c r="C255" s="43" t="str">
        <v>2025Q1</v>
      </c>
      <c r="D255" s="43">
        <v>287089</v>
      </c>
      <c r="E255" s="43">
        <v>226386</v>
      </c>
      <c r="F255" s="43">
        <v>513475</v>
      </c>
      <c r="G255" s="43">
        <v>60702</v>
      </c>
    </row>
    <row r="256" spans="2:7">
      <c r="B256" s="40">
        <v>45838</v>
      </c>
      <c r="C256" s="43" t="str">
        <v>2025Q2</v>
      </c>
      <c r="D256" s="43">
        <v>274059</v>
      </c>
      <c r="E256" s="43">
        <v>238886</v>
      </c>
      <c r="F256" s="43">
        <v>512945</v>
      </c>
      <c r="G256" s="43">
        <v>35173</v>
      </c>
    </row>
    <row r="257" spans="2:7">
      <c r="B257" s="40">
        <v>45930</v>
      </c>
      <c r="C257" s="43" t="str">
        <v>2025Q3</v>
      </c>
      <c r="D257" s="43">
        <v>303743</v>
      </c>
      <c r="E257" s="43">
        <v>239782</v>
      </c>
      <c r="F257" s="43">
        <v>543526</v>
      </c>
      <c r="G257" s="43">
        <v>63961</v>
      </c>
    </row>
    <row r="258" spans="2:7">
      <c r="B258" s="40">
        <v>46022</v>
      </c>
      <c r="C258" s="43" t="str">
        <v>2025Q4</v>
      </c>
      <c r="D258" s="43">
        <v>300128</v>
      </c>
      <c r="E258" s="43">
        <v>247684</v>
      </c>
      <c r="F258" s="43">
        <v>547811</v>
      </c>
      <c r="G258" s="43">
        <v>52444</v>
      </c>
    </row>
  </sheetData>
  <mergeCells count="4">
    <mergeCell ref="U51:V51"/>
    <mergeCell ref="Z51:AA51"/>
    <mergeCell ref="U4:V4"/>
    <mergeCell ref="Z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28E0-F21B-4670-90F8-30E7F7894778}">
  <dimension ref="A1:A57"/>
  <sheetViews>
    <sheetView workbookViewId="0">
      <selection activeCell="A2" sqref="A2:A57"/>
    </sheetView>
  </sheetViews>
  <sheetFormatPr defaultRowHeight="14.4"/>
  <cols>
    <col min="1" max="1" width="8" bestFit="1" customWidth="1"/>
  </cols>
  <sheetData>
    <row r="1" spans="1:1">
      <c r="A1" t="s">
        <v>27</v>
      </c>
    </row>
    <row r="2" spans="1:1">
      <c r="A2">
        <v>816113</v>
      </c>
    </row>
    <row r="3" spans="1:1">
      <c r="A3">
        <v>815279</v>
      </c>
    </row>
    <row r="4" spans="1:1">
      <c r="A4">
        <v>816590</v>
      </c>
    </row>
    <row r="5" spans="1:1">
      <c r="A5">
        <v>824518</v>
      </c>
    </row>
    <row r="6" spans="1:1">
      <c r="A6">
        <v>819438</v>
      </c>
    </row>
    <row r="7" spans="1:1">
      <c r="A7">
        <v>831118</v>
      </c>
    </row>
    <row r="8" spans="1:1">
      <c r="A8">
        <v>850723</v>
      </c>
    </row>
    <row r="9" spans="1:1">
      <c r="A9">
        <v>867617</v>
      </c>
    </row>
    <row r="10" spans="1:1">
      <c r="A10">
        <v>876230</v>
      </c>
    </row>
    <row r="11" spans="1:1">
      <c r="A11">
        <v>866234</v>
      </c>
    </row>
    <row r="12" spans="1:1">
      <c r="A12">
        <v>871065</v>
      </c>
    </row>
    <row r="13" spans="1:1">
      <c r="A13">
        <v>890954</v>
      </c>
    </row>
    <row r="14" spans="1:1">
      <c r="A14">
        <v>906707</v>
      </c>
    </row>
    <row r="15" spans="1:1">
      <c r="A15">
        <v>912937</v>
      </c>
    </row>
    <row r="16" spans="1:1">
      <c r="A16">
        <v>913474</v>
      </c>
    </row>
    <row r="17" spans="1:1">
      <c r="A17">
        <v>934503</v>
      </c>
    </row>
    <row r="18" spans="1:1">
      <c r="A18">
        <v>936516</v>
      </c>
    </row>
    <row r="19" spans="1:1">
      <c r="A19">
        <v>918584</v>
      </c>
    </row>
    <row r="20" spans="1:1">
      <c r="A20">
        <v>917789</v>
      </c>
    </row>
    <row r="21" spans="1:1">
      <c r="A21">
        <v>957230</v>
      </c>
    </row>
    <row r="22" spans="1:1">
      <c r="A22">
        <v>932702</v>
      </c>
    </row>
    <row r="23" spans="1:1">
      <c r="A23">
        <v>922635</v>
      </c>
    </row>
    <row r="24" spans="1:1">
      <c r="A24">
        <v>933711</v>
      </c>
    </row>
    <row r="25" spans="1:1">
      <c r="A25">
        <v>985165</v>
      </c>
    </row>
    <row r="26" spans="1:1">
      <c r="A26">
        <v>958113</v>
      </c>
    </row>
    <row r="27" spans="1:1">
      <c r="A27">
        <v>958245</v>
      </c>
    </row>
    <row r="28" spans="1:1">
      <c r="A28">
        <v>962710</v>
      </c>
    </row>
    <row r="29" spans="1:1">
      <c r="A29">
        <v>1016937</v>
      </c>
    </row>
    <row r="30" spans="1:1">
      <c r="A30">
        <v>985357</v>
      </c>
    </row>
    <row r="31" spans="1:1">
      <c r="A31">
        <v>974442</v>
      </c>
    </row>
    <row r="32" spans="1:1">
      <c r="A32">
        <v>976512</v>
      </c>
    </row>
    <row r="33" spans="1:1">
      <c r="A33">
        <v>1024040</v>
      </c>
    </row>
    <row r="34" spans="1:1">
      <c r="A34">
        <v>972107</v>
      </c>
    </row>
    <row r="35" spans="1:1">
      <c r="A35">
        <v>903140</v>
      </c>
    </row>
    <row r="36" spans="1:1">
      <c r="A36">
        <v>940499</v>
      </c>
    </row>
    <row r="37" spans="1:1">
      <c r="A37">
        <v>993922</v>
      </c>
    </row>
    <row r="38" spans="1:1">
      <c r="A38">
        <v>988793</v>
      </c>
    </row>
    <row r="39" spans="1:1">
      <c r="A39">
        <v>965383</v>
      </c>
    </row>
    <row r="40" spans="1:1">
      <c r="A40">
        <v>1020704</v>
      </c>
    </row>
    <row r="41" spans="1:1">
      <c r="A41">
        <v>1083163</v>
      </c>
    </row>
    <row r="42" spans="1:1">
      <c r="A42">
        <v>1099270</v>
      </c>
    </row>
    <row r="43" spans="1:1">
      <c r="A43">
        <v>1105314</v>
      </c>
    </row>
    <row r="44" spans="1:1">
      <c r="A44">
        <v>1153237</v>
      </c>
    </row>
    <row r="45" spans="1:1">
      <c r="A45">
        <v>1187211</v>
      </c>
    </row>
    <row r="46" spans="1:1">
      <c r="A46">
        <v>1159934</v>
      </c>
    </row>
    <row r="47" spans="1:1">
      <c r="A47">
        <v>1134944</v>
      </c>
    </row>
    <row r="48" spans="1:1">
      <c r="A48">
        <v>1122801</v>
      </c>
    </row>
    <row r="49" spans="1:1">
      <c r="A49">
        <v>1152014</v>
      </c>
    </row>
    <row r="50" spans="1:1">
      <c r="A50">
        <v>1164190</v>
      </c>
    </row>
    <row r="51" spans="1:1">
      <c r="A51">
        <v>1148324</v>
      </c>
    </row>
    <row r="52" spans="1:1">
      <c r="A52">
        <v>1166650</v>
      </c>
    </row>
    <row r="53" spans="1:1">
      <c r="A53">
        <v>1211577</v>
      </c>
    </row>
    <row r="54" spans="1:1">
      <c r="A54">
        <v>1207010</v>
      </c>
    </row>
    <row r="55" spans="1:1">
      <c r="A55">
        <v>1199530</v>
      </c>
    </row>
    <row r="56" spans="1:1">
      <c r="A56">
        <v>1222872</v>
      </c>
    </row>
    <row r="57" spans="1:1">
      <c r="A57">
        <v>1272528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EDB6-C7A3-4C0E-8E71-EB3D40EDBCCA}">
  <dimension ref="A1:P45"/>
  <sheetViews>
    <sheetView topLeftCell="A8" zoomScale="150" zoomScaleNormal="150" workbookViewId="0">
      <selection activeCell="D6" sqref="D6"/>
    </sheetView>
  </sheetViews>
  <sheetFormatPr defaultColWidth="9.109375" defaultRowHeight="10.8"/>
  <cols>
    <col min="1" max="1" width="3.88671875" style="28" customWidth="1"/>
    <col min="2" max="2" width="6.44140625" style="28" customWidth="1"/>
    <col min="3" max="3" width="11.6640625" style="28" customWidth="1"/>
    <col min="4" max="4" width="8.5546875" style="28" customWidth="1"/>
    <col min="5" max="5" width="11.6640625" style="28" customWidth="1"/>
    <col min="6" max="6" width="5.33203125" style="28" customWidth="1"/>
    <col min="7" max="7" width="11.6640625" style="28" customWidth="1"/>
    <col min="8" max="8" width="6.33203125" style="28" customWidth="1"/>
    <col min="9" max="9" width="11.6640625" style="28" customWidth="1"/>
    <col min="10" max="10" width="5.33203125" style="28" customWidth="1"/>
    <col min="11" max="11" width="11.6640625" style="28" customWidth="1"/>
    <col min="12" max="12" width="4.6640625" style="28" customWidth="1"/>
    <col min="13" max="13" width="11.6640625" style="28" customWidth="1"/>
    <col min="14" max="14" width="4.6640625" style="28" customWidth="1"/>
    <col min="15" max="15" width="11.6640625" style="28" customWidth="1"/>
    <col min="16" max="16" width="4.6640625" style="28" customWidth="1"/>
    <col min="17" max="16384" width="9.109375" style="28"/>
  </cols>
  <sheetData>
    <row r="1" spans="1:16" ht="0.75" customHeight="1" thickBot="1">
      <c r="A1" s="28" t="str">
        <f>CONCATENATE(D5,LEFT(D6,1),RIGHT(D6,1))</f>
        <v>2021Q2</v>
      </c>
    </row>
    <row r="2" spans="1:16" ht="10.5" hidden="1" customHeight="1"/>
    <row r="3" spans="1:16" ht="10.5" hidden="1" customHeight="1"/>
    <row r="4" spans="1:16" ht="17.25" customHeight="1">
      <c r="B4" s="57"/>
      <c r="C4" s="55" t="s">
        <v>96</v>
      </c>
      <c r="D4" s="56"/>
    </row>
    <row r="5" spans="1:16" ht="17.25" customHeight="1">
      <c r="B5" s="66" t="s">
        <v>95</v>
      </c>
      <c r="C5" s="67"/>
      <c r="D5" s="48">
        <v>2021</v>
      </c>
    </row>
    <row r="6" spans="1:16" ht="17.25" customHeight="1" thickBot="1">
      <c r="B6" s="68" t="s">
        <v>57</v>
      </c>
      <c r="C6" s="69"/>
      <c r="D6" s="51" t="s">
        <v>158</v>
      </c>
    </row>
    <row r="7" spans="1:16" ht="11.4" thickBot="1"/>
    <row r="8" spans="1:16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6"/>
    </row>
    <row r="9" spans="1:16">
      <c r="B9" s="47"/>
      <c r="C9" s="52" t="s">
        <v>99</v>
      </c>
      <c r="D9" s="52"/>
      <c r="E9" s="52" t="s">
        <v>55</v>
      </c>
      <c r="F9" s="52"/>
      <c r="G9" s="52" t="s">
        <v>56</v>
      </c>
      <c r="H9" s="52"/>
      <c r="I9" s="52" t="s">
        <v>48</v>
      </c>
      <c r="J9" s="52"/>
      <c r="K9" s="52" t="s">
        <v>50</v>
      </c>
      <c r="L9" s="52"/>
      <c r="M9" s="52" t="s">
        <v>51</v>
      </c>
      <c r="N9" s="52"/>
      <c r="O9" s="52" t="s">
        <v>53</v>
      </c>
      <c r="P9" s="54"/>
    </row>
    <row r="10" spans="1:16" ht="18">
      <c r="B10" s="47"/>
      <c r="C10" s="53">
        <f>_xlfn.XLOOKUP($A$1,Data!$C$52:$C$87,Data!$I$52:$I$87)</f>
        <v>965383</v>
      </c>
      <c r="D10" s="52"/>
      <c r="E10" s="53">
        <f>_xlfn.XLOOKUP(Dashboard!$A$1,Data!$C$95:$C$130,Data!$D$95:$D$130)</f>
        <v>248100</v>
      </c>
      <c r="F10" s="52"/>
      <c r="G10" s="53">
        <f>_xlfn.XLOOKUP(Dashboard!$A$1,Data!$C$137:$C$172,Data!$D$137:$D$172)</f>
        <v>252700</v>
      </c>
      <c r="H10" s="52"/>
      <c r="I10" s="53">
        <f>_xlfn.XLOOKUP(Dashboard!$A$1,Data!$C$180:$C$215,Data!$D$180:$D$215)</f>
        <v>-4600</v>
      </c>
      <c r="J10" s="52"/>
      <c r="K10" s="53">
        <f>_xlfn.XLOOKUP($A$1,Data!$C$223:$C$258,Data!$D$223:$D$258)</f>
        <v>232179</v>
      </c>
      <c r="L10" s="53"/>
      <c r="M10" s="53">
        <f>_xlfn.XLOOKUP($A$1,Data!$C$223:$C$258,Data!$E$223:$E$258)</f>
        <v>140424</v>
      </c>
      <c r="N10" s="53"/>
      <c r="O10" s="53">
        <f>_xlfn.XLOOKUP($A$1,Data!$C$223:$C$258,Data!$G$223:$G$258)</f>
        <v>91755</v>
      </c>
      <c r="P10" s="54"/>
    </row>
    <row r="11" spans="1:16">
      <c r="B11" s="47"/>
      <c r="P11" s="48"/>
    </row>
    <row r="12" spans="1:16">
      <c r="B12" s="47"/>
      <c r="P12" s="48"/>
    </row>
    <row r="13" spans="1:16">
      <c r="B13" s="47"/>
      <c r="P13" s="48"/>
    </row>
    <row r="14" spans="1:16">
      <c r="B14" s="47"/>
      <c r="P14" s="48"/>
    </row>
    <row r="15" spans="1:16">
      <c r="B15" s="47"/>
      <c r="P15" s="48"/>
    </row>
    <row r="16" spans="1:16">
      <c r="B16" s="47"/>
      <c r="P16" s="48"/>
    </row>
    <row r="17" spans="2:16">
      <c r="B17" s="47"/>
      <c r="P17" s="48"/>
    </row>
    <row r="18" spans="2:16">
      <c r="B18" s="47"/>
      <c r="P18" s="48"/>
    </row>
    <row r="19" spans="2:16">
      <c r="B19" s="47"/>
      <c r="P19" s="48"/>
    </row>
    <row r="20" spans="2:16">
      <c r="B20" s="47"/>
      <c r="P20" s="48"/>
    </row>
    <row r="21" spans="2:16">
      <c r="B21" s="47"/>
      <c r="P21" s="48"/>
    </row>
    <row r="22" spans="2:16">
      <c r="B22" s="47"/>
      <c r="P22" s="48"/>
    </row>
    <row r="23" spans="2:16">
      <c r="B23" s="47"/>
      <c r="P23" s="48"/>
    </row>
    <row r="24" spans="2:16">
      <c r="B24" s="47"/>
      <c r="P24" s="48"/>
    </row>
    <row r="25" spans="2:16">
      <c r="B25" s="47"/>
      <c r="P25" s="48"/>
    </row>
    <row r="26" spans="2:16">
      <c r="B26" s="47"/>
      <c r="P26" s="48"/>
    </row>
    <row r="27" spans="2:16">
      <c r="B27" s="47"/>
      <c r="P27" s="48"/>
    </row>
    <row r="28" spans="2:16">
      <c r="B28" s="47"/>
      <c r="P28" s="48"/>
    </row>
    <row r="29" spans="2:16">
      <c r="B29" s="47"/>
      <c r="P29" s="48"/>
    </row>
    <row r="30" spans="2:16">
      <c r="B30" s="47"/>
      <c r="P30" s="48"/>
    </row>
    <row r="31" spans="2:16">
      <c r="B31" s="47"/>
      <c r="P31" s="48"/>
    </row>
    <row r="32" spans="2:16">
      <c r="B32" s="47"/>
      <c r="P32" s="48"/>
    </row>
    <row r="33" spans="2:16">
      <c r="B33" s="47"/>
      <c r="P33" s="48"/>
    </row>
    <row r="34" spans="2:16">
      <c r="B34" s="47"/>
      <c r="P34" s="48"/>
    </row>
    <row r="35" spans="2:16">
      <c r="B35" s="47"/>
      <c r="P35" s="48"/>
    </row>
    <row r="36" spans="2:16">
      <c r="B36" s="47"/>
      <c r="P36" s="48"/>
    </row>
    <row r="37" spans="2:16">
      <c r="B37" s="47"/>
      <c r="P37" s="48"/>
    </row>
    <row r="38" spans="2:16">
      <c r="B38" s="47"/>
      <c r="P38" s="48"/>
    </row>
    <row r="39" spans="2:16">
      <c r="B39" s="47"/>
      <c r="P39" s="48"/>
    </row>
    <row r="40" spans="2:16">
      <c r="B40" s="47"/>
      <c r="P40" s="48"/>
    </row>
    <row r="41" spans="2:16">
      <c r="B41" s="47"/>
      <c r="P41" s="48"/>
    </row>
    <row r="42" spans="2:16">
      <c r="B42" s="47"/>
      <c r="P42" s="48"/>
    </row>
    <row r="43" spans="2:16">
      <c r="B43" s="47"/>
      <c r="P43" s="48"/>
    </row>
    <row r="44" spans="2:16">
      <c r="B44" s="47"/>
      <c r="P44" s="48"/>
    </row>
    <row r="45" spans="2:16" ht="11.4" thickBot="1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</row>
  </sheetData>
  <mergeCells count="2">
    <mergeCell ref="B5:C5"/>
    <mergeCell ref="B6:C6"/>
  </mergeCells>
  <dataValidations count="2">
    <dataValidation type="list" allowBlank="1" showInputMessage="1" showErrorMessage="1" sqref="D5" xr:uid="{A6273333-7539-4706-88BE-376B9148F53C}">
      <formula1>"2017,2018,2019,2020,2021,2022,2023,2024,2025"</formula1>
    </dataValidation>
    <dataValidation type="list" allowBlank="1" showInputMessage="1" showErrorMessage="1" sqref="D6" xr:uid="{2DF0DF3B-723D-49A6-A9D1-7C21A3F8FE1A}">
      <formula1>"Qaurter 1,Quarter 2,Quarter 3,Quarter 4"</formula1>
    </dataValidation>
  </dataValidations>
  <pageMargins left="0.25" right="0.25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717F76-4095-4968-9843-72B830D050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GDP_By_Main_Economic_Activity</vt:lpstr>
      <vt:lpstr>balance_of_payments</vt:lpstr>
      <vt:lpstr>Government_Revenues</vt:lpstr>
      <vt:lpstr>Government_Expenditures</vt:lpstr>
      <vt:lpstr>Purchasing_Managers_Index</vt:lpstr>
      <vt:lpstr>Point_of_Sales_Transactions</vt:lpstr>
      <vt:lpstr>Crude_Oil</vt:lpstr>
      <vt:lpstr>Money_Supply</vt:lpstr>
      <vt:lpstr>International_Trade</vt:lpstr>
      <vt:lpstr>Consumer_Price_Index</vt:lpstr>
      <vt:lpstr>Model</vt:lpstr>
      <vt:lpstr>Nowcasting</vt:lpstr>
      <vt:lpstr>GDP_By_Kind_of_Economic_Activit</vt:lpstr>
      <vt:lpstr>Data</vt:lpstr>
      <vt:lpstr>GrossDomesticProduct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jamaan</dc:creator>
  <cp:lastModifiedBy>Jamaan Abdulaziz</cp:lastModifiedBy>
  <dcterms:created xsi:type="dcterms:W3CDTF">2026-04-03T09:27:34Z</dcterms:created>
  <dcterms:modified xsi:type="dcterms:W3CDTF">2026-05-05T16:01:54Z</dcterms:modified>
</cp:coreProperties>
</file>